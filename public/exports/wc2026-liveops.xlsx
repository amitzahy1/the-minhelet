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0_README" state="visible" r:id="rId4"/>
    <sheet sheetId="2" name="01_results_input" state="visible" r:id="rId5"/>
    <sheet sheetId="3" name="03_scoring_rules" state="visible" r:id="rId6"/>
    <sheet sheetId="4" name="Groups" state="visible" r:id="rId7"/>
    <sheet sheetId="5" name="Knockout" state="visible" r:id="rId8"/>
    <sheet sheetId="6" name="Special" state="visible" r:id="rId9"/>
    <sheet sheetId="7" name="Advancement" state="visible" r:id="rId10"/>
    <sheet sheetId="8" name="Teams (reference)" state="visible" r:id="rId11"/>
    <sheet sheetId="9" name="99_leaderboard" state="visible" r:id="rId12"/>
  </sheets>
  <definedNames>
    <definedName name="pts_group_toto">'03_scoring_rules'!$B$2</definedName>
    <definedName name="pts_group_exact_bonus">'03_scoring_rules'!$B$3</definedName>
    <definedName name="pts_ko_toto">'03_scoring_rules'!$B$4</definedName>
    <definedName name="pts_ko_exact_bonus">'03_scoring_rules'!$B$5</definedName>
    <definedName name="pts_winner">'03_scoring_rules'!$B$6</definedName>
    <definedName name="pts_finalist">'03_scoring_rules'!$B$7</definedName>
    <definedName name="pts_semifinalist">'03_scoring_rules'!$B$8</definedName>
    <definedName name="pts_quarterfinalist">'03_scoring_rules'!$B$9</definedName>
    <definedName name="pts_top_scorer">'03_scoring_rules'!$B$10</definedName>
    <definedName name="pts_top_assists">'03_scoring_rules'!$B$11</definedName>
    <definedName name="pts_best_attack">'03_scoring_rules'!$B$12</definedName>
    <definedName name="pts_prolific_group">'03_scoring_rules'!$B$13</definedName>
    <definedName name="pts_driest_group">'03_scoring_rules'!$B$14</definedName>
    <definedName name="pts_dirtiest_team">'03_scoring_rules'!$B$15</definedName>
    <definedName name="pts_matchup">'03_scoring_rules'!$B$16</definedName>
    <definedName name="pts_penalties_ou">'03_scoring_rules'!$B$17</definedName>
  </definedNames>
  <calcPr calcId="171027"/>
</workbook>
</file>

<file path=xl/sharedStrings.xml><?xml version="1.0" encoding="utf-8"?>
<sst xmlns="http://schemas.openxmlformats.org/spreadsheetml/2006/main" count="2922" uniqueCount="830">
  <si>
    <t>wc2026-liveops.xlsx — חוברת ניהול חיה לחירום</t>
  </si>
  <si>
    <t/>
  </si>
  <si>
    <t>השתמשו בחוברת זו אם האתר אינו זמין. הזנת התוצאות מתבצעת בגיליון 01_results_input,</t>
  </si>
  <si>
    <t>וגיליון 99_leaderboard מתעדכן עם נוסחאות עבור שלב הבתים. נוקאאוט והימורים מיוחדים</t>
  </si>
  <si>
    <t>מצריכים הזנה ידנית של ניקוד בעמודות הייעודיות (גרסה זו לא כוללת חישוב אוטומטי לכל המסלולים).</t>
  </si>
  <si>
    <t>תהליך עבודה:</t>
  </si>
  <si>
    <t>1. פתחו את גיליון 01_results_input והזינו את תוצאת המשחק תחת home_goals + away_goals.</t>
  </si>
  <si>
    <t>2. הניקוד עבור שלב הבתים מתעדכן בעמודות _pts בגיליון Groups.</t>
  </si>
  <si>
    <t>3. עבור נוקאאוט: בגיליון Knockout, הזינו ב-עמודות _pts את הניקוד עבור כל מהמר.</t>
  </si>
  <si>
    <t>4. עבור הימורים מיוחדים: בגיליון Special, הזינו ב-עמודות _pts את הניקוד.</t>
  </si>
  <si>
    <t>5. גיליון 99_leaderboard מסכם את כל הניקודים לפי משתמש.</t>
  </si>
  <si>
    <t>כללי ניקוד (ראו גם גיליון 03_scoring_rules):</t>
  </si>
  <si>
    <t>• בתים — תוצאה מדויקת = 3 נק׳, כיוון נכון (טוטו) = 2 נק׳, אחרת = 0</t>
  </si>
  <si>
    <t>• נוקאאוט — תוצאה מדויקת = 3 נק׳, כיוון נכון = 2 נק׳</t>
  </si>
  <si>
    <t>• זוכה הטורניר = 12 נק׳, גמר = 8, חצי = 6, רבע = 4</t>
  </si>
  <si>
    <t>• מלך שערים מדויק = 9 נק׳, מלך בישולים = 7, התקפה = 6, בית פורה/יבש = 5</t>
  </si>
  <si>
    <t>match_id</t>
  </si>
  <si>
    <t>stage</t>
  </si>
  <si>
    <t>group</t>
  </si>
  <si>
    <t>home_tla</t>
  </si>
  <si>
    <t>away_tla</t>
  </si>
  <si>
    <t>home_goals</t>
  </si>
  <si>
    <t>away_goals</t>
  </si>
  <si>
    <t>A1</t>
  </si>
  <si>
    <t>GROUP</t>
  </si>
  <si>
    <t>A</t>
  </si>
  <si>
    <t>MEX</t>
  </si>
  <si>
    <t>KOR</t>
  </si>
  <si>
    <t>A2</t>
  </si>
  <si>
    <t>CZE</t>
  </si>
  <si>
    <t>RSA</t>
  </si>
  <si>
    <t>A3</t>
  </si>
  <si>
    <t>A4</t>
  </si>
  <si>
    <t>A5</t>
  </si>
  <si>
    <t>A6</t>
  </si>
  <si>
    <t>B1</t>
  </si>
  <si>
    <t>B</t>
  </si>
  <si>
    <t>CAN</t>
  </si>
  <si>
    <t>QAT</t>
  </si>
  <si>
    <t>B2</t>
  </si>
  <si>
    <t>SUI</t>
  </si>
  <si>
    <t>BIH</t>
  </si>
  <si>
    <t>B3</t>
  </si>
  <si>
    <t>B4</t>
  </si>
  <si>
    <t>B5</t>
  </si>
  <si>
    <t>B6</t>
  </si>
  <si>
    <t>C1</t>
  </si>
  <si>
    <t>C</t>
  </si>
  <si>
    <t>BRA</t>
  </si>
  <si>
    <t>MAR</t>
  </si>
  <si>
    <t>C2</t>
  </si>
  <si>
    <t>SCO</t>
  </si>
  <si>
    <t>HAI</t>
  </si>
  <si>
    <t>C3</t>
  </si>
  <si>
    <t>C4</t>
  </si>
  <si>
    <t>C5</t>
  </si>
  <si>
    <t>C6</t>
  </si>
  <si>
    <t>D1</t>
  </si>
  <si>
    <t>D</t>
  </si>
  <si>
    <t>USA</t>
  </si>
  <si>
    <t>PAR</t>
  </si>
  <si>
    <t>D2</t>
  </si>
  <si>
    <t>TUR</t>
  </si>
  <si>
    <t>AUS</t>
  </si>
  <si>
    <t>D3</t>
  </si>
  <si>
    <t>D4</t>
  </si>
  <si>
    <t>D5</t>
  </si>
  <si>
    <t>D6</t>
  </si>
  <si>
    <t>E1</t>
  </si>
  <si>
    <t>E</t>
  </si>
  <si>
    <t>GER</t>
  </si>
  <si>
    <t>ECU</t>
  </si>
  <si>
    <t>E2</t>
  </si>
  <si>
    <t>CIV</t>
  </si>
  <si>
    <t>CUR</t>
  </si>
  <si>
    <t>E3</t>
  </si>
  <si>
    <t>E4</t>
  </si>
  <si>
    <t>E5</t>
  </si>
  <si>
    <t>E6</t>
  </si>
  <si>
    <t>F1</t>
  </si>
  <si>
    <t>F</t>
  </si>
  <si>
    <t>NED</t>
  </si>
  <si>
    <t>JPN</t>
  </si>
  <si>
    <t>F2</t>
  </si>
  <si>
    <t>SWE</t>
  </si>
  <si>
    <t>TUN</t>
  </si>
  <si>
    <t>F3</t>
  </si>
  <si>
    <t>F4</t>
  </si>
  <si>
    <t>F5</t>
  </si>
  <si>
    <t>F6</t>
  </si>
  <si>
    <t>G1</t>
  </si>
  <si>
    <t>G</t>
  </si>
  <si>
    <t>BEL</t>
  </si>
  <si>
    <t>IRN</t>
  </si>
  <si>
    <t>G2</t>
  </si>
  <si>
    <t>EGY</t>
  </si>
  <si>
    <t>NZL</t>
  </si>
  <si>
    <t>G3</t>
  </si>
  <si>
    <t>G4</t>
  </si>
  <si>
    <t>G5</t>
  </si>
  <si>
    <t>G6</t>
  </si>
  <si>
    <t>H1</t>
  </si>
  <si>
    <t>H</t>
  </si>
  <si>
    <t>ESP</t>
  </si>
  <si>
    <t>URU</t>
  </si>
  <si>
    <t>H2</t>
  </si>
  <si>
    <t>KSA</t>
  </si>
  <si>
    <t>CPV</t>
  </si>
  <si>
    <t>H3</t>
  </si>
  <si>
    <t>H4</t>
  </si>
  <si>
    <t>H5</t>
  </si>
  <si>
    <t>H6</t>
  </si>
  <si>
    <t>I1</t>
  </si>
  <si>
    <t>I</t>
  </si>
  <si>
    <t>FRA</t>
  </si>
  <si>
    <t>SEN</t>
  </si>
  <si>
    <t>I2</t>
  </si>
  <si>
    <t>NOR</t>
  </si>
  <si>
    <t>IRQ</t>
  </si>
  <si>
    <t>I3</t>
  </si>
  <si>
    <t>I4</t>
  </si>
  <si>
    <t>I5</t>
  </si>
  <si>
    <t>I6</t>
  </si>
  <si>
    <t>J1</t>
  </si>
  <si>
    <t>J</t>
  </si>
  <si>
    <t>ARG</t>
  </si>
  <si>
    <t>AUT</t>
  </si>
  <si>
    <t>J2</t>
  </si>
  <si>
    <t>ALG</t>
  </si>
  <si>
    <t>JOR</t>
  </si>
  <si>
    <t>J3</t>
  </si>
  <si>
    <t>J4</t>
  </si>
  <si>
    <t>J5</t>
  </si>
  <si>
    <t>J6</t>
  </si>
  <si>
    <t>K1</t>
  </si>
  <si>
    <t>K</t>
  </si>
  <si>
    <t>POR</t>
  </si>
  <si>
    <t>COL</t>
  </si>
  <si>
    <t>K2</t>
  </si>
  <si>
    <t>UZB</t>
  </si>
  <si>
    <t>COD</t>
  </si>
  <si>
    <t>K3</t>
  </si>
  <si>
    <t>K4</t>
  </si>
  <si>
    <t>K5</t>
  </si>
  <si>
    <t>K6</t>
  </si>
  <si>
    <t>L1</t>
  </si>
  <si>
    <t>L</t>
  </si>
  <si>
    <t>ENG</t>
  </si>
  <si>
    <t>CRO</t>
  </si>
  <si>
    <t>L2</t>
  </si>
  <si>
    <t>GHA</t>
  </si>
  <si>
    <t>PAN</t>
  </si>
  <si>
    <t>L3</t>
  </si>
  <si>
    <t>L4</t>
  </si>
  <si>
    <t>L5</t>
  </si>
  <si>
    <t>L6</t>
  </si>
  <si>
    <t>name</t>
  </si>
  <si>
    <t>value</t>
  </si>
  <si>
    <t>description</t>
  </si>
  <si>
    <t>pts_group_toto</t>
  </si>
  <si>
    <t>כיוון נכון בשלב הבתים</t>
  </si>
  <si>
    <t>pts_group_exact_bonus</t>
  </si>
  <si>
    <t>בונוס תוצאה מדויקת בשלב הבתים (סה״כ 3)</t>
  </si>
  <si>
    <t>pts_ko_toto</t>
  </si>
  <si>
    <t>כיוון נכון בנוקאאוט</t>
  </si>
  <si>
    <t>pts_ko_exact_bonus</t>
  </si>
  <si>
    <t>בונוס תוצאה מדויקת בנוקאאוט</t>
  </si>
  <si>
    <t>pts_winner</t>
  </si>
  <si>
    <t>ניקוד אלוף הטורניר</t>
  </si>
  <si>
    <t>pts_finalist</t>
  </si>
  <si>
    <t>ניקוד עולה לגמר</t>
  </si>
  <si>
    <t>pts_semifinalist</t>
  </si>
  <si>
    <t>ניקוד עולה לחצי גמר</t>
  </si>
  <si>
    <t>pts_quarterfinalist</t>
  </si>
  <si>
    <t>ניקוד עולה לרבע גמר</t>
  </si>
  <si>
    <t>pts_top_scorer</t>
  </si>
  <si>
    <t>מלך שערים מדויק</t>
  </si>
  <si>
    <t>pts_top_assists</t>
  </si>
  <si>
    <t>מלך בישולים מדויק</t>
  </si>
  <si>
    <t>pts_best_attack</t>
  </si>
  <si>
    <t>התקפה הכי טובה</t>
  </si>
  <si>
    <t>pts_prolific_group</t>
  </si>
  <si>
    <t>בית פורה</t>
  </si>
  <si>
    <t>pts_driest_group</t>
  </si>
  <si>
    <t>בית יבש</t>
  </si>
  <si>
    <t>pts_dirtiest_team</t>
  </si>
  <si>
    <t>נבחרת כסחנית</t>
  </si>
  <si>
    <t>pts_matchup</t>
  </si>
  <si>
    <t>מאצ'אפ נכון (כל אחד)</t>
  </si>
  <si>
    <t>pts_penalties_ou</t>
  </si>
  <si>
    <t>פנדלים אובר/אנדר</t>
  </si>
  <si>
    <t>email</t>
  </si>
  <si>
    <t>display_name</t>
  </si>
  <si>
    <t>A1_home</t>
  </si>
  <si>
    <t>A1_away</t>
  </si>
  <si>
    <t>A1_pred_h</t>
  </si>
  <si>
    <t>A1_pred_a</t>
  </si>
  <si>
    <t>A2_home</t>
  </si>
  <si>
    <t>A2_away</t>
  </si>
  <si>
    <t>A2_pred_h</t>
  </si>
  <si>
    <t>A2_pred_a</t>
  </si>
  <si>
    <t>A3_home</t>
  </si>
  <si>
    <t>A3_away</t>
  </si>
  <si>
    <t>A3_pred_h</t>
  </si>
  <si>
    <t>A3_pred_a</t>
  </si>
  <si>
    <t>A4_home</t>
  </si>
  <si>
    <t>A4_away</t>
  </si>
  <si>
    <t>A4_pred_h</t>
  </si>
  <si>
    <t>A4_pred_a</t>
  </si>
  <si>
    <t>A5_home</t>
  </si>
  <si>
    <t>A5_away</t>
  </si>
  <si>
    <t>A5_pred_h</t>
  </si>
  <si>
    <t>A5_pred_a</t>
  </si>
  <si>
    <t>A6_home</t>
  </si>
  <si>
    <t>A6_away</t>
  </si>
  <si>
    <t>A6_pred_h</t>
  </si>
  <si>
    <t>A6_pred_a</t>
  </si>
  <si>
    <t>B1_home</t>
  </si>
  <si>
    <t>B1_away</t>
  </si>
  <si>
    <t>B1_pred_h</t>
  </si>
  <si>
    <t>B1_pred_a</t>
  </si>
  <si>
    <t>B2_home</t>
  </si>
  <si>
    <t>B2_away</t>
  </si>
  <si>
    <t>B2_pred_h</t>
  </si>
  <si>
    <t>B2_pred_a</t>
  </si>
  <si>
    <t>B3_home</t>
  </si>
  <si>
    <t>B3_away</t>
  </si>
  <si>
    <t>B3_pred_h</t>
  </si>
  <si>
    <t>B3_pred_a</t>
  </si>
  <si>
    <t>B4_home</t>
  </si>
  <si>
    <t>B4_away</t>
  </si>
  <si>
    <t>B4_pred_h</t>
  </si>
  <si>
    <t>B4_pred_a</t>
  </si>
  <si>
    <t>B5_home</t>
  </si>
  <si>
    <t>B5_away</t>
  </si>
  <si>
    <t>B5_pred_h</t>
  </si>
  <si>
    <t>B5_pred_a</t>
  </si>
  <si>
    <t>B6_home</t>
  </si>
  <si>
    <t>B6_away</t>
  </si>
  <si>
    <t>B6_pred_h</t>
  </si>
  <si>
    <t>B6_pred_a</t>
  </si>
  <si>
    <t>C1_home</t>
  </si>
  <si>
    <t>C1_away</t>
  </si>
  <si>
    <t>C1_pred_h</t>
  </si>
  <si>
    <t>C1_pred_a</t>
  </si>
  <si>
    <t>C2_home</t>
  </si>
  <si>
    <t>C2_away</t>
  </si>
  <si>
    <t>C2_pred_h</t>
  </si>
  <si>
    <t>C2_pred_a</t>
  </si>
  <si>
    <t>C3_home</t>
  </si>
  <si>
    <t>C3_away</t>
  </si>
  <si>
    <t>C3_pred_h</t>
  </si>
  <si>
    <t>C3_pred_a</t>
  </si>
  <si>
    <t>C4_home</t>
  </si>
  <si>
    <t>C4_away</t>
  </si>
  <si>
    <t>C4_pred_h</t>
  </si>
  <si>
    <t>C4_pred_a</t>
  </si>
  <si>
    <t>C5_home</t>
  </si>
  <si>
    <t>C5_away</t>
  </si>
  <si>
    <t>C5_pred_h</t>
  </si>
  <si>
    <t>C5_pred_a</t>
  </si>
  <si>
    <t>C6_home</t>
  </si>
  <si>
    <t>C6_away</t>
  </si>
  <si>
    <t>C6_pred_h</t>
  </si>
  <si>
    <t>C6_pred_a</t>
  </si>
  <si>
    <t>D1_home</t>
  </si>
  <si>
    <t>D1_away</t>
  </si>
  <si>
    <t>D1_pred_h</t>
  </si>
  <si>
    <t>D1_pred_a</t>
  </si>
  <si>
    <t>D2_home</t>
  </si>
  <si>
    <t>D2_away</t>
  </si>
  <si>
    <t>D2_pred_h</t>
  </si>
  <si>
    <t>D2_pred_a</t>
  </si>
  <si>
    <t>D3_home</t>
  </si>
  <si>
    <t>D3_away</t>
  </si>
  <si>
    <t>D3_pred_h</t>
  </si>
  <si>
    <t>D3_pred_a</t>
  </si>
  <si>
    <t>D4_home</t>
  </si>
  <si>
    <t>D4_away</t>
  </si>
  <si>
    <t>D4_pred_h</t>
  </si>
  <si>
    <t>D4_pred_a</t>
  </si>
  <si>
    <t>D5_home</t>
  </si>
  <si>
    <t>D5_away</t>
  </si>
  <si>
    <t>D5_pred_h</t>
  </si>
  <si>
    <t>D5_pred_a</t>
  </si>
  <si>
    <t>D6_home</t>
  </si>
  <si>
    <t>D6_away</t>
  </si>
  <si>
    <t>D6_pred_h</t>
  </si>
  <si>
    <t>D6_pred_a</t>
  </si>
  <si>
    <t>E1_home</t>
  </si>
  <si>
    <t>E1_away</t>
  </si>
  <si>
    <t>E1_pred_h</t>
  </si>
  <si>
    <t>E1_pred_a</t>
  </si>
  <si>
    <t>E2_home</t>
  </si>
  <si>
    <t>E2_away</t>
  </si>
  <si>
    <t>E2_pred_h</t>
  </si>
  <si>
    <t>E2_pred_a</t>
  </si>
  <si>
    <t>E3_home</t>
  </si>
  <si>
    <t>E3_away</t>
  </si>
  <si>
    <t>E3_pred_h</t>
  </si>
  <si>
    <t>E3_pred_a</t>
  </si>
  <si>
    <t>E4_home</t>
  </si>
  <si>
    <t>E4_away</t>
  </si>
  <si>
    <t>E4_pred_h</t>
  </si>
  <si>
    <t>E4_pred_a</t>
  </si>
  <si>
    <t>E5_home</t>
  </si>
  <si>
    <t>E5_away</t>
  </si>
  <si>
    <t>E5_pred_h</t>
  </si>
  <si>
    <t>E5_pred_a</t>
  </si>
  <si>
    <t>E6_home</t>
  </si>
  <si>
    <t>E6_away</t>
  </si>
  <si>
    <t>E6_pred_h</t>
  </si>
  <si>
    <t>E6_pred_a</t>
  </si>
  <si>
    <t>F1_home</t>
  </si>
  <si>
    <t>F1_away</t>
  </si>
  <si>
    <t>F1_pred_h</t>
  </si>
  <si>
    <t>F1_pred_a</t>
  </si>
  <si>
    <t>F2_home</t>
  </si>
  <si>
    <t>F2_away</t>
  </si>
  <si>
    <t>F2_pred_h</t>
  </si>
  <si>
    <t>F2_pred_a</t>
  </si>
  <si>
    <t>F3_home</t>
  </si>
  <si>
    <t>F3_away</t>
  </si>
  <si>
    <t>F3_pred_h</t>
  </si>
  <si>
    <t>F3_pred_a</t>
  </si>
  <si>
    <t>F4_home</t>
  </si>
  <si>
    <t>F4_away</t>
  </si>
  <si>
    <t>F4_pred_h</t>
  </si>
  <si>
    <t>F4_pred_a</t>
  </si>
  <si>
    <t>F5_home</t>
  </si>
  <si>
    <t>F5_away</t>
  </si>
  <si>
    <t>F5_pred_h</t>
  </si>
  <si>
    <t>F5_pred_a</t>
  </si>
  <si>
    <t>F6_home</t>
  </si>
  <si>
    <t>F6_away</t>
  </si>
  <si>
    <t>F6_pred_h</t>
  </si>
  <si>
    <t>F6_pred_a</t>
  </si>
  <si>
    <t>G1_home</t>
  </si>
  <si>
    <t>G1_away</t>
  </si>
  <si>
    <t>G1_pred_h</t>
  </si>
  <si>
    <t>G1_pred_a</t>
  </si>
  <si>
    <t>G2_home</t>
  </si>
  <si>
    <t>G2_away</t>
  </si>
  <si>
    <t>G2_pred_h</t>
  </si>
  <si>
    <t>G2_pred_a</t>
  </si>
  <si>
    <t>G3_home</t>
  </si>
  <si>
    <t>G3_away</t>
  </si>
  <si>
    <t>G3_pred_h</t>
  </si>
  <si>
    <t>G3_pred_a</t>
  </si>
  <si>
    <t>G4_home</t>
  </si>
  <si>
    <t>G4_away</t>
  </si>
  <si>
    <t>G4_pred_h</t>
  </si>
  <si>
    <t>G4_pred_a</t>
  </si>
  <si>
    <t>G5_home</t>
  </si>
  <si>
    <t>G5_away</t>
  </si>
  <si>
    <t>G5_pred_h</t>
  </si>
  <si>
    <t>G5_pred_a</t>
  </si>
  <si>
    <t>G6_home</t>
  </si>
  <si>
    <t>G6_away</t>
  </si>
  <si>
    <t>G6_pred_h</t>
  </si>
  <si>
    <t>G6_pred_a</t>
  </si>
  <si>
    <t>H1_home</t>
  </si>
  <si>
    <t>H1_away</t>
  </si>
  <si>
    <t>H1_pred_h</t>
  </si>
  <si>
    <t>H1_pred_a</t>
  </si>
  <si>
    <t>H2_home</t>
  </si>
  <si>
    <t>H2_away</t>
  </si>
  <si>
    <t>H2_pred_h</t>
  </si>
  <si>
    <t>H2_pred_a</t>
  </si>
  <si>
    <t>H3_home</t>
  </si>
  <si>
    <t>H3_away</t>
  </si>
  <si>
    <t>H3_pred_h</t>
  </si>
  <si>
    <t>H3_pred_a</t>
  </si>
  <si>
    <t>H4_home</t>
  </si>
  <si>
    <t>H4_away</t>
  </si>
  <si>
    <t>H4_pred_h</t>
  </si>
  <si>
    <t>H4_pred_a</t>
  </si>
  <si>
    <t>H5_home</t>
  </si>
  <si>
    <t>H5_away</t>
  </si>
  <si>
    <t>H5_pred_h</t>
  </si>
  <si>
    <t>H5_pred_a</t>
  </si>
  <si>
    <t>H6_home</t>
  </si>
  <si>
    <t>H6_away</t>
  </si>
  <si>
    <t>H6_pred_h</t>
  </si>
  <si>
    <t>H6_pred_a</t>
  </si>
  <si>
    <t>I1_home</t>
  </si>
  <si>
    <t>I1_away</t>
  </si>
  <si>
    <t>I1_pred_h</t>
  </si>
  <si>
    <t>I1_pred_a</t>
  </si>
  <si>
    <t>I2_home</t>
  </si>
  <si>
    <t>I2_away</t>
  </si>
  <si>
    <t>I2_pred_h</t>
  </si>
  <si>
    <t>I2_pred_a</t>
  </si>
  <si>
    <t>I3_home</t>
  </si>
  <si>
    <t>I3_away</t>
  </si>
  <si>
    <t>I3_pred_h</t>
  </si>
  <si>
    <t>I3_pred_a</t>
  </si>
  <si>
    <t>I4_home</t>
  </si>
  <si>
    <t>I4_away</t>
  </si>
  <si>
    <t>I4_pred_h</t>
  </si>
  <si>
    <t>I4_pred_a</t>
  </si>
  <si>
    <t>I5_home</t>
  </si>
  <si>
    <t>I5_away</t>
  </si>
  <si>
    <t>I5_pred_h</t>
  </si>
  <si>
    <t>I5_pred_a</t>
  </si>
  <si>
    <t>I6_home</t>
  </si>
  <si>
    <t>I6_away</t>
  </si>
  <si>
    <t>I6_pred_h</t>
  </si>
  <si>
    <t>I6_pred_a</t>
  </si>
  <si>
    <t>J1_home</t>
  </si>
  <si>
    <t>J1_away</t>
  </si>
  <si>
    <t>J1_pred_h</t>
  </si>
  <si>
    <t>J1_pred_a</t>
  </si>
  <si>
    <t>J2_home</t>
  </si>
  <si>
    <t>J2_away</t>
  </si>
  <si>
    <t>J2_pred_h</t>
  </si>
  <si>
    <t>J2_pred_a</t>
  </si>
  <si>
    <t>J3_home</t>
  </si>
  <si>
    <t>J3_away</t>
  </si>
  <si>
    <t>J3_pred_h</t>
  </si>
  <si>
    <t>J3_pred_a</t>
  </si>
  <si>
    <t>J4_home</t>
  </si>
  <si>
    <t>J4_away</t>
  </si>
  <si>
    <t>J4_pred_h</t>
  </si>
  <si>
    <t>J4_pred_a</t>
  </si>
  <si>
    <t>J5_home</t>
  </si>
  <si>
    <t>J5_away</t>
  </si>
  <si>
    <t>J5_pred_h</t>
  </si>
  <si>
    <t>J5_pred_a</t>
  </si>
  <si>
    <t>J6_home</t>
  </si>
  <si>
    <t>J6_away</t>
  </si>
  <si>
    <t>J6_pred_h</t>
  </si>
  <si>
    <t>J6_pred_a</t>
  </si>
  <si>
    <t>K1_home</t>
  </si>
  <si>
    <t>K1_away</t>
  </si>
  <si>
    <t>K1_pred_h</t>
  </si>
  <si>
    <t>K1_pred_a</t>
  </si>
  <si>
    <t>K2_home</t>
  </si>
  <si>
    <t>K2_away</t>
  </si>
  <si>
    <t>K2_pred_h</t>
  </si>
  <si>
    <t>K2_pred_a</t>
  </si>
  <si>
    <t>K3_home</t>
  </si>
  <si>
    <t>K3_away</t>
  </si>
  <si>
    <t>K3_pred_h</t>
  </si>
  <si>
    <t>K3_pred_a</t>
  </si>
  <si>
    <t>K4_home</t>
  </si>
  <si>
    <t>K4_away</t>
  </si>
  <si>
    <t>K4_pred_h</t>
  </si>
  <si>
    <t>K4_pred_a</t>
  </si>
  <si>
    <t>K5_home</t>
  </si>
  <si>
    <t>K5_away</t>
  </si>
  <si>
    <t>K5_pred_h</t>
  </si>
  <si>
    <t>K5_pred_a</t>
  </si>
  <si>
    <t>K6_home</t>
  </si>
  <si>
    <t>K6_away</t>
  </si>
  <si>
    <t>K6_pred_h</t>
  </si>
  <si>
    <t>K6_pred_a</t>
  </si>
  <si>
    <t>L1_home</t>
  </si>
  <si>
    <t>L1_away</t>
  </si>
  <si>
    <t>L1_pred_h</t>
  </si>
  <si>
    <t>L1_pred_a</t>
  </si>
  <si>
    <t>L2_home</t>
  </si>
  <si>
    <t>L2_away</t>
  </si>
  <si>
    <t>L2_pred_h</t>
  </si>
  <si>
    <t>L2_pred_a</t>
  </si>
  <si>
    <t>L3_home</t>
  </si>
  <si>
    <t>L3_away</t>
  </si>
  <si>
    <t>L3_pred_h</t>
  </si>
  <si>
    <t>L3_pred_a</t>
  </si>
  <si>
    <t>L4_home</t>
  </si>
  <si>
    <t>L4_away</t>
  </si>
  <si>
    <t>L4_pred_h</t>
  </si>
  <si>
    <t>L4_pred_a</t>
  </si>
  <si>
    <t>L5_home</t>
  </si>
  <si>
    <t>L5_away</t>
  </si>
  <si>
    <t>L5_pred_h</t>
  </si>
  <si>
    <t>L5_pred_a</t>
  </si>
  <si>
    <t>L6_home</t>
  </si>
  <si>
    <t>L6_away</t>
  </si>
  <si>
    <t>L6_pred_h</t>
  </si>
  <si>
    <t>L6_pred_a</t>
  </si>
  <si>
    <t>A1_pts</t>
  </si>
  <si>
    <t>A2_pts</t>
  </si>
  <si>
    <t>A3_pts</t>
  </si>
  <si>
    <t>A4_pts</t>
  </si>
  <si>
    <t>A5_pts</t>
  </si>
  <si>
    <t>A6_pts</t>
  </si>
  <si>
    <t>B1_pts</t>
  </si>
  <si>
    <t>B2_pts</t>
  </si>
  <si>
    <t>B3_pts</t>
  </si>
  <si>
    <t>B4_pts</t>
  </si>
  <si>
    <t>B5_pts</t>
  </si>
  <si>
    <t>B6_pts</t>
  </si>
  <si>
    <t>C1_pts</t>
  </si>
  <si>
    <t>C2_pts</t>
  </si>
  <si>
    <t>C3_pts</t>
  </si>
  <si>
    <t>C4_pts</t>
  </si>
  <si>
    <t>C5_pts</t>
  </si>
  <si>
    <t>C6_pts</t>
  </si>
  <si>
    <t>D1_pts</t>
  </si>
  <si>
    <t>D2_pts</t>
  </si>
  <si>
    <t>D3_pts</t>
  </si>
  <si>
    <t>D4_pts</t>
  </si>
  <si>
    <t>D5_pts</t>
  </si>
  <si>
    <t>D6_pts</t>
  </si>
  <si>
    <t>E1_pts</t>
  </si>
  <si>
    <t>E2_pts</t>
  </si>
  <si>
    <t>E3_pts</t>
  </si>
  <si>
    <t>E4_pts</t>
  </si>
  <si>
    <t>E5_pts</t>
  </si>
  <si>
    <t>E6_pts</t>
  </si>
  <si>
    <t>F1_pts</t>
  </si>
  <si>
    <t>F2_pts</t>
  </si>
  <si>
    <t>F3_pts</t>
  </si>
  <si>
    <t>F4_pts</t>
  </si>
  <si>
    <t>F5_pts</t>
  </si>
  <si>
    <t>F6_pts</t>
  </si>
  <si>
    <t>G1_pts</t>
  </si>
  <si>
    <t>G2_pts</t>
  </si>
  <si>
    <t>G3_pts</t>
  </si>
  <si>
    <t>G4_pts</t>
  </si>
  <si>
    <t>G5_pts</t>
  </si>
  <si>
    <t>G6_pts</t>
  </si>
  <si>
    <t>H1_pts</t>
  </si>
  <si>
    <t>H2_pts</t>
  </si>
  <si>
    <t>H3_pts</t>
  </si>
  <si>
    <t>H4_pts</t>
  </si>
  <si>
    <t>H5_pts</t>
  </si>
  <si>
    <t>H6_pts</t>
  </si>
  <si>
    <t>I1_pts</t>
  </si>
  <si>
    <t>I2_pts</t>
  </si>
  <si>
    <t>I3_pts</t>
  </si>
  <si>
    <t>I4_pts</t>
  </si>
  <si>
    <t>I5_pts</t>
  </si>
  <si>
    <t>I6_pts</t>
  </si>
  <si>
    <t>J1_pts</t>
  </si>
  <si>
    <t>J2_pts</t>
  </si>
  <si>
    <t>J3_pts</t>
  </si>
  <si>
    <t>J4_pts</t>
  </si>
  <si>
    <t>J5_pts</t>
  </si>
  <si>
    <t>J6_pts</t>
  </si>
  <si>
    <t>K1_pts</t>
  </si>
  <si>
    <t>K2_pts</t>
  </si>
  <si>
    <t>K3_pts</t>
  </si>
  <si>
    <t>K4_pts</t>
  </si>
  <si>
    <t>K5_pts</t>
  </si>
  <si>
    <t>K6_pts</t>
  </si>
  <si>
    <t>L1_pts</t>
  </si>
  <si>
    <t>L2_pts</t>
  </si>
  <si>
    <t>L3_pts</t>
  </si>
  <si>
    <t>L4_pts</t>
  </si>
  <si>
    <t>L5_pts</t>
  </si>
  <si>
    <t>L6_pts</t>
  </si>
  <si>
    <t>groups_total_pts</t>
  </si>
  <si>
    <t>danny@example.com</t>
  </si>
  <si>
    <t>דני</t>
  </si>
  <si>
    <t>yoni@example.com</t>
  </si>
  <si>
    <t>יוני</t>
  </si>
  <si>
    <t>amit@example.com</t>
  </si>
  <si>
    <t>אמית</t>
  </si>
  <si>
    <t>dor@example.com</t>
  </si>
  <si>
    <t>דור דסא</t>
  </si>
  <si>
    <t>ron.b@example.com</t>
  </si>
  <si>
    <t>רון ב</t>
  </si>
  <si>
    <t>ron.g@example.com</t>
  </si>
  <si>
    <t>רון ג</t>
  </si>
  <si>
    <t>roi@example.com</t>
  </si>
  <si>
    <t>רועי</t>
  </si>
  <si>
    <t>uri@example.com</t>
  </si>
  <si>
    <t>אורי</t>
  </si>
  <si>
    <t>r32_0_winner</t>
  </si>
  <si>
    <t>r32_0_h_score</t>
  </si>
  <si>
    <t>r32_0_a_score</t>
  </si>
  <si>
    <t>r32_1_winner</t>
  </si>
  <si>
    <t>r32_1_h_score</t>
  </si>
  <si>
    <t>r32_1_a_score</t>
  </si>
  <si>
    <t>r32_2_winner</t>
  </si>
  <si>
    <t>r32_2_h_score</t>
  </si>
  <si>
    <t>r32_2_a_score</t>
  </si>
  <si>
    <t>r32_3_winner</t>
  </si>
  <si>
    <t>r32_3_h_score</t>
  </si>
  <si>
    <t>r32_3_a_score</t>
  </si>
  <si>
    <t>r32_4_winner</t>
  </si>
  <si>
    <t>r32_4_h_score</t>
  </si>
  <si>
    <t>r32_4_a_score</t>
  </si>
  <si>
    <t>r32_5_winner</t>
  </si>
  <si>
    <t>r32_5_h_score</t>
  </si>
  <si>
    <t>r32_5_a_score</t>
  </si>
  <si>
    <t>r32_6_winner</t>
  </si>
  <si>
    <t>r32_6_h_score</t>
  </si>
  <si>
    <t>r32_6_a_score</t>
  </si>
  <si>
    <t>r32_7_winner</t>
  </si>
  <si>
    <t>r32_7_h_score</t>
  </si>
  <si>
    <t>r32_7_a_score</t>
  </si>
  <si>
    <t>r32_8_winner</t>
  </si>
  <si>
    <t>r32_8_h_score</t>
  </si>
  <si>
    <t>r32_8_a_score</t>
  </si>
  <si>
    <t>r32_9_winner</t>
  </si>
  <si>
    <t>r32_9_h_score</t>
  </si>
  <si>
    <t>r32_9_a_score</t>
  </si>
  <si>
    <t>r32_10_winner</t>
  </si>
  <si>
    <t>r32_10_h_score</t>
  </si>
  <si>
    <t>r32_10_a_score</t>
  </si>
  <si>
    <t>r32_11_winner</t>
  </si>
  <si>
    <t>r32_11_h_score</t>
  </si>
  <si>
    <t>r32_11_a_score</t>
  </si>
  <si>
    <t>r32_12_winner</t>
  </si>
  <si>
    <t>r32_12_h_score</t>
  </si>
  <si>
    <t>r32_12_a_score</t>
  </si>
  <si>
    <t>r32_13_winner</t>
  </si>
  <si>
    <t>r32_13_h_score</t>
  </si>
  <si>
    <t>r32_13_a_score</t>
  </si>
  <si>
    <t>r32_14_winner</t>
  </si>
  <si>
    <t>r32_14_h_score</t>
  </si>
  <si>
    <t>r32_14_a_score</t>
  </si>
  <si>
    <t>r32_15_winner</t>
  </si>
  <si>
    <t>r32_15_h_score</t>
  </si>
  <si>
    <t>r32_15_a_score</t>
  </si>
  <si>
    <t>r16_0_winner</t>
  </si>
  <si>
    <t>r16_0_h_score</t>
  </si>
  <si>
    <t>r16_0_a_score</t>
  </si>
  <si>
    <t>r16_1_winner</t>
  </si>
  <si>
    <t>r16_1_h_score</t>
  </si>
  <si>
    <t>r16_1_a_score</t>
  </si>
  <si>
    <t>r16_2_winner</t>
  </si>
  <si>
    <t>r16_2_h_score</t>
  </si>
  <si>
    <t>r16_2_a_score</t>
  </si>
  <si>
    <t>r16_3_winner</t>
  </si>
  <si>
    <t>r16_3_h_score</t>
  </si>
  <si>
    <t>r16_3_a_score</t>
  </si>
  <si>
    <t>r16_4_winner</t>
  </si>
  <si>
    <t>r16_4_h_score</t>
  </si>
  <si>
    <t>r16_4_a_score</t>
  </si>
  <si>
    <t>r16_5_winner</t>
  </si>
  <si>
    <t>r16_5_h_score</t>
  </si>
  <si>
    <t>r16_5_a_score</t>
  </si>
  <si>
    <t>r16_6_winner</t>
  </si>
  <si>
    <t>r16_6_h_score</t>
  </si>
  <si>
    <t>r16_6_a_score</t>
  </si>
  <si>
    <t>r16_7_winner</t>
  </si>
  <si>
    <t>r16_7_h_score</t>
  </si>
  <si>
    <t>r16_7_a_score</t>
  </si>
  <si>
    <t>qf_0_winner</t>
  </si>
  <si>
    <t>qf_0_h_score</t>
  </si>
  <si>
    <t>qf_0_a_score</t>
  </si>
  <si>
    <t>qf_1_winner</t>
  </si>
  <si>
    <t>qf_1_h_score</t>
  </si>
  <si>
    <t>qf_1_a_score</t>
  </si>
  <si>
    <t>qf_2_winner</t>
  </si>
  <si>
    <t>qf_2_h_score</t>
  </si>
  <si>
    <t>qf_2_a_score</t>
  </si>
  <si>
    <t>qf_3_winner</t>
  </si>
  <si>
    <t>qf_3_h_score</t>
  </si>
  <si>
    <t>qf_3_a_score</t>
  </si>
  <si>
    <t>sf_0_winner</t>
  </si>
  <si>
    <t>sf_0_h_score</t>
  </si>
  <si>
    <t>sf_0_a_score</t>
  </si>
  <si>
    <t>sf_1_winner</t>
  </si>
  <si>
    <t>sf_1_h_score</t>
  </si>
  <si>
    <t>sf_1_a_score</t>
  </si>
  <si>
    <t>third_winner</t>
  </si>
  <si>
    <t>third_h_score</t>
  </si>
  <si>
    <t>third_a_score</t>
  </si>
  <si>
    <t>final_winner</t>
  </si>
  <si>
    <t>final_h_score</t>
  </si>
  <si>
    <t>final_a_score</t>
  </si>
  <si>
    <t>knockout_total_pts</t>
  </si>
  <si>
    <t>מלך שערים</t>
  </si>
  <si>
    <t>מלך בישולים</t>
  </si>
  <si>
    <t>התקפה</t>
  </si>
  <si>
    <t>כסחנית</t>
  </si>
  <si>
    <t>מאצ׳אפ 1</t>
  </si>
  <si>
    <t>מאצ׳אפ 2</t>
  </si>
  <si>
    <t>מאצ׳אפ 3</t>
  </si>
  <si>
    <t>פנדלים O/U</t>
  </si>
  <si>
    <t>special_total_pts</t>
  </si>
  <si>
    <t>Mbappé</t>
  </si>
  <si>
    <t>De Bruyne</t>
  </si>
  <si>
    <t>home</t>
  </si>
  <si>
    <t>away</t>
  </si>
  <si>
    <t>draw</t>
  </si>
  <si>
    <t>over</t>
  </si>
  <si>
    <t>Haaland</t>
  </si>
  <si>
    <t>Modric</t>
  </si>
  <si>
    <t>under</t>
  </si>
  <si>
    <t>Vinicius</t>
  </si>
  <si>
    <t>Bruno Fernandes</t>
  </si>
  <si>
    <t>Lautaro</t>
  </si>
  <si>
    <t>Kimmich</t>
  </si>
  <si>
    <t>Kane</t>
  </si>
  <si>
    <t>A_q1</t>
  </si>
  <si>
    <t>A_q2</t>
  </si>
  <si>
    <t>B_q1</t>
  </si>
  <si>
    <t>B_q2</t>
  </si>
  <si>
    <t>C_q1</t>
  </si>
  <si>
    <t>C_q2</t>
  </si>
  <si>
    <t>D_q1</t>
  </si>
  <si>
    <t>D_q2</t>
  </si>
  <si>
    <t>E_q1</t>
  </si>
  <si>
    <t>E_q2</t>
  </si>
  <si>
    <t>F_q1</t>
  </si>
  <si>
    <t>F_q2</t>
  </si>
  <si>
    <t>G_q1</t>
  </si>
  <si>
    <t>G_q2</t>
  </si>
  <si>
    <t>H_q1</t>
  </si>
  <si>
    <t>H_q2</t>
  </si>
  <si>
    <t>I_q1</t>
  </si>
  <si>
    <t>I_q2</t>
  </si>
  <si>
    <t>J_q1</t>
  </si>
  <si>
    <t>J_q2</t>
  </si>
  <si>
    <t>K_q1</t>
  </si>
  <si>
    <t>K_q2</t>
  </si>
  <si>
    <t>L_q1</t>
  </si>
  <si>
    <t>L_q2</t>
  </si>
  <si>
    <t>advance_to_qf</t>
  </si>
  <si>
    <t>advance_to_sf</t>
  </si>
  <si>
    <t>advance_to_final</t>
  </si>
  <si>
    <t>winner</t>
  </si>
  <si>
    <t>advancement_total_pts</t>
  </si>
  <si>
    <t>MEX | CAN | BRA | USA | GER | NED | BEL | ESP</t>
  </si>
  <si>
    <t>MEX | CAN | BRA | USA</t>
  </si>
  <si>
    <t>MEX | CAN</t>
  </si>
  <si>
    <t>KOR | QAT | MAR | PAR | ECU | JPN | IRN | URU</t>
  </si>
  <si>
    <t>KOR | QAT | MAR | PAR</t>
  </si>
  <si>
    <t>KOR | QAT</t>
  </si>
  <si>
    <t>tla</t>
  </si>
  <si>
    <t>name_he</t>
  </si>
  <si>
    <t>name_en</t>
  </si>
  <si>
    <t>מקסיקו</t>
  </si>
  <si>
    <t>Mexico</t>
  </si>
  <si>
    <t>דרום קוריאה</t>
  </si>
  <si>
    <t>South Korea</t>
  </si>
  <si>
    <t>צ׳כיה</t>
  </si>
  <si>
    <t>Czechia</t>
  </si>
  <si>
    <t>דרום אפריקה</t>
  </si>
  <si>
    <t>South Africa</t>
  </si>
  <si>
    <t>קנדה</t>
  </si>
  <si>
    <t>Canada</t>
  </si>
  <si>
    <t>קטאר</t>
  </si>
  <si>
    <t>Qatar</t>
  </si>
  <si>
    <t>שווייץ</t>
  </si>
  <si>
    <t>Switzerland</t>
  </si>
  <si>
    <t>בוסניה</t>
  </si>
  <si>
    <t>Bosnia-Herzegovina</t>
  </si>
  <si>
    <t>ברזיל</t>
  </si>
  <si>
    <t>Brazil</t>
  </si>
  <si>
    <t>מרוקו</t>
  </si>
  <si>
    <t>Morocco</t>
  </si>
  <si>
    <t>סקוטלנד</t>
  </si>
  <si>
    <t>Scotland</t>
  </si>
  <si>
    <t>האיטי</t>
  </si>
  <si>
    <t>Haiti</t>
  </si>
  <si>
    <t>ארה״ב</t>
  </si>
  <si>
    <t>United States</t>
  </si>
  <si>
    <t>פרגוואי</t>
  </si>
  <si>
    <t>Paraguay</t>
  </si>
  <si>
    <t>טורקיה</t>
  </si>
  <si>
    <t>Turkey</t>
  </si>
  <si>
    <t>אוסטרליה</t>
  </si>
  <si>
    <t>Australia</t>
  </si>
  <si>
    <t>גרמניה</t>
  </si>
  <si>
    <t>Germany</t>
  </si>
  <si>
    <t>אקוודור</t>
  </si>
  <si>
    <t>Ecuador</t>
  </si>
  <si>
    <t>חוף השנהב</t>
  </si>
  <si>
    <t>Ivory Coast</t>
  </si>
  <si>
    <t>קוראסאו</t>
  </si>
  <si>
    <t>Curaçao</t>
  </si>
  <si>
    <t>הולנד</t>
  </si>
  <si>
    <t>Netherlands</t>
  </si>
  <si>
    <t>יפן</t>
  </si>
  <si>
    <t>Japan</t>
  </si>
  <si>
    <t>שבדיה</t>
  </si>
  <si>
    <t>Sweden</t>
  </si>
  <si>
    <t>תוניסיה</t>
  </si>
  <si>
    <t>Tunisia</t>
  </si>
  <si>
    <t>בלגיה</t>
  </si>
  <si>
    <t>Belgium</t>
  </si>
  <si>
    <t>איראן</t>
  </si>
  <si>
    <t>Iran</t>
  </si>
  <si>
    <t>מצרים</t>
  </si>
  <si>
    <t>Egypt</t>
  </si>
  <si>
    <t>ניו זילנד</t>
  </si>
  <si>
    <t>New Zealand</t>
  </si>
  <si>
    <t>ספרד</t>
  </si>
  <si>
    <t>Spain</t>
  </si>
  <si>
    <t>אורוגוואי</t>
  </si>
  <si>
    <t>Uruguay</t>
  </si>
  <si>
    <t>ערב הסעודית</t>
  </si>
  <si>
    <t>Saudi Arabia</t>
  </si>
  <si>
    <t>כף ורדה</t>
  </si>
  <si>
    <t>Cape Verde</t>
  </si>
  <si>
    <t>צרפת</t>
  </si>
  <si>
    <t>France</t>
  </si>
  <si>
    <t>סנגל</t>
  </si>
  <si>
    <t>Senegal</t>
  </si>
  <si>
    <t>נורבגיה</t>
  </si>
  <si>
    <t>Norway</t>
  </si>
  <si>
    <t>עיראק</t>
  </si>
  <si>
    <t>Iraq</t>
  </si>
  <si>
    <t>ארגנטינה</t>
  </si>
  <si>
    <t>Argentina</t>
  </si>
  <si>
    <t>אוסטריה</t>
  </si>
  <si>
    <t>Austria</t>
  </si>
  <si>
    <t>אלג׳יריה</t>
  </si>
  <si>
    <t>Algeria</t>
  </si>
  <si>
    <t>ירדן</t>
  </si>
  <si>
    <t>Jordan</t>
  </si>
  <si>
    <t>פורטוגל</t>
  </si>
  <si>
    <t>Portugal</t>
  </si>
  <si>
    <t>קולומביה</t>
  </si>
  <si>
    <t>Colombia</t>
  </si>
  <si>
    <t>אוזבקיסטן</t>
  </si>
  <si>
    <t>Uzbekistan</t>
  </si>
  <si>
    <t>קונגו</t>
  </si>
  <si>
    <t>Congo DR</t>
  </si>
  <si>
    <t>אנגליה</t>
  </si>
  <si>
    <t>England</t>
  </si>
  <si>
    <t>קרואטיה</t>
  </si>
  <si>
    <t>Croatia</t>
  </si>
  <si>
    <t>גאנה</t>
  </si>
  <si>
    <t>Ghana</t>
  </si>
  <si>
    <t>פנמה</t>
  </si>
  <si>
    <t>Panama</t>
  </si>
  <si>
    <t>rank</t>
  </si>
  <si>
    <t>groups_pts</t>
  </si>
  <si>
    <t>knockout_pts</t>
  </si>
  <si>
    <t>special_pts</t>
  </si>
  <si>
    <t>advancement_pts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</si>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</sst>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6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E0E7FF"/>
      </patternFill>
    </fill>
    <fill>
      <patternFill patternType="solid">
        <fgColor rgb="FFF3E8FF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2" fillId="2" borderId="0" xfId="0" applyFont="1" applyFill="1"/>
    <xf numFmtId="0" fontId="2" fillId="0" borderId="0" xfId="0" applyFont="1"/>
    <xf numFmtId="0" fontId="0" fillId="2" borderId="0" xfId="0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8"/>
  <sheetFormatPr defaultRowHeight="15" outlineLevelRow="0" outlineLevelCol="0" x14ac:dyDescent="55"/>
  <cols>
    <col min="1" max="1" width="10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10</v>
      </c>
    </row>
    <row r="13" spans="1:1" x14ac:dyDescent="0.25">
      <c r="A13" s="2" t="s">
        <v>1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3"/>
  <sheetFormatPr defaultRowHeight="15" outlineLevelRow="0" outlineLevelCol="0" x14ac:dyDescent="55"/>
  <cols>
    <col min="1" max="2" width="10" customWidth="1"/>
    <col min="3" max="3" width="7" customWidth="1"/>
    <col min="4" max="5" width="8" customWidth="1"/>
    <col min="6" max="7" width="11" customWidth="1"/>
  </cols>
  <sheetData>
    <row r="1" spans="1:7" s="3" customFormat="1" x14ac:dyDescent="0.25">
      <c r="A1" s="3" t="s">
        <v>16</v>
      </c>
      <c r="B1" s="3" t="s">
        <v>17</v>
      </c>
      <c r="C1" s="3" t="s">
        <v>18</v>
      </c>
      <c r="D1" s="3" t="s">
        <v>19</v>
      </c>
      <c r="E1" s="3" t="s">
        <v>20</v>
      </c>
      <c r="F1" s="3" t="s">
        <v>21</v>
      </c>
      <c r="G1" s="3" t="s">
        <v>22</v>
      </c>
    </row>
    <row r="2" spans="1:7" x14ac:dyDescent="0.25">
      <c r="A2" t="s">
        <v>23</v>
      </c>
      <c r="B2" t="s">
        <v>24</v>
      </c>
      <c r="C2" t="s">
        <v>25</v>
      </c>
      <c r="D2" t="s">
        <v>26</v>
      </c>
      <c r="E2" t="s">
        <v>27</v>
      </c>
      <c r="F2">
        <v>0</v>
      </c>
      <c r="G2">
        <v>2</v>
      </c>
    </row>
    <row r="3" spans="1:7" x14ac:dyDescent="0.25">
      <c r="A3" t="s">
        <v>28</v>
      </c>
      <c r="B3" t="s">
        <v>24</v>
      </c>
      <c r="C3" t="s">
        <v>25</v>
      </c>
      <c r="D3" t="s">
        <v>29</v>
      </c>
      <c r="E3" t="s">
        <v>30</v>
      </c>
      <c r="F3">
        <v>1</v>
      </c>
      <c r="G3">
        <v>1</v>
      </c>
    </row>
    <row r="4" spans="1:7" x14ac:dyDescent="0.25">
      <c r="A4" t="s">
        <v>31</v>
      </c>
      <c r="B4" t="s">
        <v>24</v>
      </c>
      <c r="C4" t="s">
        <v>25</v>
      </c>
      <c r="D4" t="s">
        <v>26</v>
      </c>
      <c r="E4" t="s">
        <v>29</v>
      </c>
      <c r="F4">
        <v>1</v>
      </c>
      <c r="G4">
        <v>1</v>
      </c>
    </row>
    <row r="5" spans="1:7" x14ac:dyDescent="0.25">
      <c r="A5" t="s">
        <v>32</v>
      </c>
      <c r="B5" t="s">
        <v>24</v>
      </c>
      <c r="C5" t="s">
        <v>25</v>
      </c>
      <c r="D5" t="s">
        <v>30</v>
      </c>
      <c r="E5" t="s">
        <v>27</v>
      </c>
      <c r="F5">
        <v>1</v>
      </c>
      <c r="G5">
        <v>0</v>
      </c>
    </row>
    <row r="6" spans="1:7" x14ac:dyDescent="0.25">
      <c r="A6" t="s">
        <v>33</v>
      </c>
      <c r="B6" t="s">
        <v>24</v>
      </c>
      <c r="C6" t="s">
        <v>25</v>
      </c>
      <c r="D6" t="s">
        <v>30</v>
      </c>
      <c r="E6" t="s">
        <v>26</v>
      </c>
      <c r="F6">
        <v>1</v>
      </c>
      <c r="G6">
        <v>0</v>
      </c>
    </row>
    <row r="7" spans="1:7" x14ac:dyDescent="0.25">
      <c r="A7" t="s">
        <v>34</v>
      </c>
      <c r="B7" t="s">
        <v>24</v>
      </c>
      <c r="C7" t="s">
        <v>25</v>
      </c>
      <c r="D7" t="s">
        <v>27</v>
      </c>
      <c r="E7" t="s">
        <v>29</v>
      </c>
      <c r="F7">
        <v>1</v>
      </c>
      <c r="G7">
        <v>2</v>
      </c>
    </row>
    <row r="8" spans="1:7" x14ac:dyDescent="0.25">
      <c r="A8" t="s">
        <v>35</v>
      </c>
      <c r="B8" t="s">
        <v>24</v>
      </c>
      <c r="C8" t="s">
        <v>36</v>
      </c>
      <c r="D8" t="s">
        <v>37</v>
      </c>
      <c r="E8" t="s">
        <v>38</v>
      </c>
      <c r="F8">
        <v>0</v>
      </c>
      <c r="G8">
        <v>0</v>
      </c>
    </row>
    <row r="9" spans="1:7" x14ac:dyDescent="0.25">
      <c r="A9" t="s">
        <v>39</v>
      </c>
      <c r="B9" t="s">
        <v>24</v>
      </c>
      <c r="C9" t="s">
        <v>36</v>
      </c>
      <c r="D9" t="s">
        <v>40</v>
      </c>
      <c r="E9" t="s">
        <v>41</v>
      </c>
      <c r="F9">
        <v>0</v>
      </c>
      <c r="G9">
        <v>0</v>
      </c>
    </row>
    <row r="10" spans="1:7" x14ac:dyDescent="0.25">
      <c r="A10" t="s">
        <v>42</v>
      </c>
      <c r="B10" t="s">
        <v>24</v>
      </c>
      <c r="C10" t="s">
        <v>36</v>
      </c>
      <c r="D10" t="s">
        <v>37</v>
      </c>
      <c r="E10" t="s">
        <v>40</v>
      </c>
      <c r="F10">
        <v>1</v>
      </c>
      <c r="G10">
        <v>2</v>
      </c>
    </row>
    <row r="11" spans="1:7" x14ac:dyDescent="0.25">
      <c r="A11" t="s">
        <v>43</v>
      </c>
      <c r="B11" t="s">
        <v>24</v>
      </c>
      <c r="C11" t="s">
        <v>36</v>
      </c>
      <c r="D11" t="s">
        <v>41</v>
      </c>
      <c r="E11" t="s">
        <v>38</v>
      </c>
      <c r="F11">
        <v>1</v>
      </c>
      <c r="G11">
        <v>2</v>
      </c>
    </row>
    <row r="12" spans="1:7" x14ac:dyDescent="0.25">
      <c r="A12" t="s">
        <v>44</v>
      </c>
      <c r="B12" t="s">
        <v>24</v>
      </c>
      <c r="C12" t="s">
        <v>36</v>
      </c>
      <c r="D12" t="s">
        <v>41</v>
      </c>
      <c r="E12" t="s">
        <v>37</v>
      </c>
      <c r="F12">
        <v>1</v>
      </c>
      <c r="G12">
        <v>1</v>
      </c>
    </row>
    <row r="13" spans="1:7" x14ac:dyDescent="0.25">
      <c r="A13" t="s">
        <v>45</v>
      </c>
      <c r="B13" t="s">
        <v>24</v>
      </c>
      <c r="C13" t="s">
        <v>36</v>
      </c>
      <c r="D13" t="s">
        <v>38</v>
      </c>
      <c r="E13" t="s">
        <v>40</v>
      </c>
      <c r="F13">
        <v>1</v>
      </c>
      <c r="G13">
        <v>1</v>
      </c>
    </row>
    <row r="14" spans="1:7" x14ac:dyDescent="0.25">
      <c r="A14" t="s">
        <v>46</v>
      </c>
      <c r="B14" t="s">
        <v>24</v>
      </c>
      <c r="C14" t="s">
        <v>47</v>
      </c>
      <c r="D14" t="s">
        <v>48</v>
      </c>
      <c r="E14" t="s">
        <v>49</v>
      </c>
      <c r="F14">
        <v>0</v>
      </c>
      <c r="G14">
        <v>2</v>
      </c>
    </row>
    <row r="15" spans="1:7" x14ac:dyDescent="0.25">
      <c r="A15" t="s">
        <v>50</v>
      </c>
      <c r="B15" t="s">
        <v>24</v>
      </c>
      <c r="C15" t="s">
        <v>47</v>
      </c>
      <c r="D15" t="s">
        <v>51</v>
      </c>
      <c r="E15" t="s">
        <v>52</v>
      </c>
      <c r="F15">
        <v>0</v>
      </c>
      <c r="G15">
        <v>2</v>
      </c>
    </row>
    <row r="16" spans="1:7" x14ac:dyDescent="0.25">
      <c r="A16" t="s">
        <v>53</v>
      </c>
      <c r="B16" t="s">
        <v>24</v>
      </c>
      <c r="C16" t="s">
        <v>47</v>
      </c>
      <c r="D16" t="s">
        <v>48</v>
      </c>
      <c r="E16" t="s">
        <v>51</v>
      </c>
      <c r="F16">
        <v>1</v>
      </c>
      <c r="G16">
        <v>1</v>
      </c>
    </row>
    <row r="17" spans="1:7" x14ac:dyDescent="0.25">
      <c r="A17" t="s">
        <v>54</v>
      </c>
      <c r="B17" t="s">
        <v>24</v>
      </c>
      <c r="C17" t="s">
        <v>47</v>
      </c>
      <c r="D17" t="s">
        <v>52</v>
      </c>
      <c r="E17" t="s">
        <v>49</v>
      </c>
      <c r="F17">
        <v>1</v>
      </c>
      <c r="G17">
        <v>1</v>
      </c>
    </row>
    <row r="18" spans="1:7" x14ac:dyDescent="0.25">
      <c r="A18" t="s">
        <v>55</v>
      </c>
      <c r="B18" t="s">
        <v>24</v>
      </c>
      <c r="C18" t="s">
        <v>47</v>
      </c>
      <c r="D18" t="s">
        <v>52</v>
      </c>
      <c r="E18" t="s">
        <v>48</v>
      </c>
      <c r="F18">
        <v>1</v>
      </c>
      <c r="G18">
        <v>0</v>
      </c>
    </row>
    <row r="19" spans="1:7" x14ac:dyDescent="0.25">
      <c r="A19" t="s">
        <v>56</v>
      </c>
      <c r="B19" t="s">
        <v>24</v>
      </c>
      <c r="C19" t="s">
        <v>47</v>
      </c>
      <c r="D19" t="s">
        <v>49</v>
      </c>
      <c r="E19" t="s">
        <v>51</v>
      </c>
      <c r="F19">
        <v>1</v>
      </c>
      <c r="G19">
        <v>0</v>
      </c>
    </row>
    <row r="20" spans="1:5" x14ac:dyDescent="0.25">
      <c r="A20" t="s">
        <v>57</v>
      </c>
      <c r="B20" t="s">
        <v>24</v>
      </c>
      <c r="C20" t="s">
        <v>58</v>
      </c>
      <c r="D20" t="s">
        <v>59</v>
      </c>
      <c r="E20" t="s">
        <v>60</v>
      </c>
    </row>
    <row r="21" spans="1:5" x14ac:dyDescent="0.25">
      <c r="A21" t="s">
        <v>61</v>
      </c>
      <c r="B21" t="s">
        <v>24</v>
      </c>
      <c r="C21" t="s">
        <v>58</v>
      </c>
      <c r="D21" t="s">
        <v>62</v>
      </c>
      <c r="E21" t="s">
        <v>63</v>
      </c>
    </row>
    <row r="22" spans="1:5" x14ac:dyDescent="0.25">
      <c r="A22" t="s">
        <v>64</v>
      </c>
      <c r="B22" t="s">
        <v>24</v>
      </c>
      <c r="C22" t="s">
        <v>58</v>
      </c>
      <c r="D22" t="s">
        <v>59</v>
      </c>
      <c r="E22" t="s">
        <v>62</v>
      </c>
    </row>
    <row r="23" spans="1:5" x14ac:dyDescent="0.25">
      <c r="A23" t="s">
        <v>65</v>
      </c>
      <c r="B23" t="s">
        <v>24</v>
      </c>
      <c r="C23" t="s">
        <v>58</v>
      </c>
      <c r="D23" t="s">
        <v>63</v>
      </c>
      <c r="E23" t="s">
        <v>60</v>
      </c>
    </row>
    <row r="24" spans="1:5" x14ac:dyDescent="0.25">
      <c r="A24" t="s">
        <v>66</v>
      </c>
      <c r="B24" t="s">
        <v>24</v>
      </c>
      <c r="C24" t="s">
        <v>58</v>
      </c>
      <c r="D24" t="s">
        <v>63</v>
      </c>
      <c r="E24" t="s">
        <v>59</v>
      </c>
    </row>
    <row r="25" spans="1:5" x14ac:dyDescent="0.25">
      <c r="A25" t="s">
        <v>67</v>
      </c>
      <c r="B25" t="s">
        <v>24</v>
      </c>
      <c r="C25" t="s">
        <v>58</v>
      </c>
      <c r="D25" t="s">
        <v>60</v>
      </c>
      <c r="E25" t="s">
        <v>62</v>
      </c>
    </row>
    <row r="26" spans="1:5" x14ac:dyDescent="0.25">
      <c r="A26" t="s">
        <v>68</v>
      </c>
      <c r="B26" t="s">
        <v>24</v>
      </c>
      <c r="C26" t="s">
        <v>69</v>
      </c>
      <c r="D26" t="s">
        <v>70</v>
      </c>
      <c r="E26" t="s">
        <v>71</v>
      </c>
    </row>
    <row r="27" spans="1:5" x14ac:dyDescent="0.25">
      <c r="A27" t="s">
        <v>72</v>
      </c>
      <c r="B27" t="s">
        <v>24</v>
      </c>
      <c r="C27" t="s">
        <v>69</v>
      </c>
      <c r="D27" t="s">
        <v>73</v>
      </c>
      <c r="E27" t="s">
        <v>74</v>
      </c>
    </row>
    <row r="28" spans="1:5" x14ac:dyDescent="0.25">
      <c r="A28" t="s">
        <v>75</v>
      </c>
      <c r="B28" t="s">
        <v>24</v>
      </c>
      <c r="C28" t="s">
        <v>69</v>
      </c>
      <c r="D28" t="s">
        <v>70</v>
      </c>
      <c r="E28" t="s">
        <v>73</v>
      </c>
    </row>
    <row r="29" spans="1:5" x14ac:dyDescent="0.25">
      <c r="A29" t="s">
        <v>76</v>
      </c>
      <c r="B29" t="s">
        <v>24</v>
      </c>
      <c r="C29" t="s">
        <v>69</v>
      </c>
      <c r="D29" t="s">
        <v>74</v>
      </c>
      <c r="E29" t="s">
        <v>71</v>
      </c>
    </row>
    <row r="30" spans="1:5" x14ac:dyDescent="0.25">
      <c r="A30" t="s">
        <v>77</v>
      </c>
      <c r="B30" t="s">
        <v>24</v>
      </c>
      <c r="C30" t="s">
        <v>69</v>
      </c>
      <c r="D30" t="s">
        <v>74</v>
      </c>
      <c r="E30" t="s">
        <v>70</v>
      </c>
    </row>
    <row r="31" spans="1:5" x14ac:dyDescent="0.25">
      <c r="A31" t="s">
        <v>78</v>
      </c>
      <c r="B31" t="s">
        <v>24</v>
      </c>
      <c r="C31" t="s">
        <v>69</v>
      </c>
      <c r="D31" t="s">
        <v>71</v>
      </c>
      <c r="E31" t="s">
        <v>73</v>
      </c>
    </row>
    <row r="32" spans="1:5" x14ac:dyDescent="0.25">
      <c r="A32" t="s">
        <v>79</v>
      </c>
      <c r="B32" t="s">
        <v>24</v>
      </c>
      <c r="C32" t="s">
        <v>80</v>
      </c>
      <c r="D32" t="s">
        <v>81</v>
      </c>
      <c r="E32" t="s">
        <v>82</v>
      </c>
    </row>
    <row r="33" spans="1:5" x14ac:dyDescent="0.25">
      <c r="A33" t="s">
        <v>83</v>
      </c>
      <c r="B33" t="s">
        <v>24</v>
      </c>
      <c r="C33" t="s">
        <v>80</v>
      </c>
      <c r="D33" t="s">
        <v>84</v>
      </c>
      <c r="E33" t="s">
        <v>85</v>
      </c>
    </row>
    <row r="34" spans="1:5" x14ac:dyDescent="0.25">
      <c r="A34" t="s">
        <v>86</v>
      </c>
      <c r="B34" t="s">
        <v>24</v>
      </c>
      <c r="C34" t="s">
        <v>80</v>
      </c>
      <c r="D34" t="s">
        <v>81</v>
      </c>
      <c r="E34" t="s">
        <v>84</v>
      </c>
    </row>
    <row r="35" spans="1:5" x14ac:dyDescent="0.25">
      <c r="A35" t="s">
        <v>87</v>
      </c>
      <c r="B35" t="s">
        <v>24</v>
      </c>
      <c r="C35" t="s">
        <v>80</v>
      </c>
      <c r="D35" t="s">
        <v>85</v>
      </c>
      <c r="E35" t="s">
        <v>82</v>
      </c>
    </row>
    <row r="36" spans="1:5" x14ac:dyDescent="0.25">
      <c r="A36" t="s">
        <v>88</v>
      </c>
      <c r="B36" t="s">
        <v>24</v>
      </c>
      <c r="C36" t="s">
        <v>80</v>
      </c>
      <c r="D36" t="s">
        <v>85</v>
      </c>
      <c r="E36" t="s">
        <v>81</v>
      </c>
    </row>
    <row r="37" spans="1:5" x14ac:dyDescent="0.25">
      <c r="A37" t="s">
        <v>89</v>
      </c>
      <c r="B37" t="s">
        <v>24</v>
      </c>
      <c r="C37" t="s">
        <v>80</v>
      </c>
      <c r="D37" t="s">
        <v>82</v>
      </c>
      <c r="E37" t="s">
        <v>84</v>
      </c>
    </row>
    <row r="38" spans="1:5" x14ac:dyDescent="0.25">
      <c r="A38" t="s">
        <v>90</v>
      </c>
      <c r="B38" t="s">
        <v>24</v>
      </c>
      <c r="C38" t="s">
        <v>91</v>
      </c>
      <c r="D38" t="s">
        <v>92</v>
      </c>
      <c r="E38" t="s">
        <v>93</v>
      </c>
    </row>
    <row r="39" spans="1:5" x14ac:dyDescent="0.25">
      <c r="A39" t="s">
        <v>94</v>
      </c>
      <c r="B39" t="s">
        <v>24</v>
      </c>
      <c r="C39" t="s">
        <v>91</v>
      </c>
      <c r="D39" t="s">
        <v>95</v>
      </c>
      <c r="E39" t="s">
        <v>96</v>
      </c>
    </row>
    <row r="40" spans="1:5" x14ac:dyDescent="0.25">
      <c r="A40" t="s">
        <v>97</v>
      </c>
      <c r="B40" t="s">
        <v>24</v>
      </c>
      <c r="C40" t="s">
        <v>91</v>
      </c>
      <c r="D40" t="s">
        <v>92</v>
      </c>
      <c r="E40" t="s">
        <v>95</v>
      </c>
    </row>
    <row r="41" spans="1:5" x14ac:dyDescent="0.25">
      <c r="A41" t="s">
        <v>98</v>
      </c>
      <c r="B41" t="s">
        <v>24</v>
      </c>
      <c r="C41" t="s">
        <v>91</v>
      </c>
      <c r="D41" t="s">
        <v>96</v>
      </c>
      <c r="E41" t="s">
        <v>93</v>
      </c>
    </row>
    <row r="42" spans="1:5" x14ac:dyDescent="0.25">
      <c r="A42" t="s">
        <v>99</v>
      </c>
      <c r="B42" t="s">
        <v>24</v>
      </c>
      <c r="C42" t="s">
        <v>91</v>
      </c>
      <c r="D42" t="s">
        <v>96</v>
      </c>
      <c r="E42" t="s">
        <v>92</v>
      </c>
    </row>
    <row r="43" spans="1:5" x14ac:dyDescent="0.25">
      <c r="A43" t="s">
        <v>100</v>
      </c>
      <c r="B43" t="s">
        <v>24</v>
      </c>
      <c r="C43" t="s">
        <v>91</v>
      </c>
      <c r="D43" t="s">
        <v>93</v>
      </c>
      <c r="E43" t="s">
        <v>95</v>
      </c>
    </row>
    <row r="44" spans="1:5" x14ac:dyDescent="0.25">
      <c r="A44" t="s">
        <v>101</v>
      </c>
      <c r="B44" t="s">
        <v>24</v>
      </c>
      <c r="C44" t="s">
        <v>102</v>
      </c>
      <c r="D44" t="s">
        <v>103</v>
      </c>
      <c r="E44" t="s">
        <v>104</v>
      </c>
    </row>
    <row r="45" spans="1:5" x14ac:dyDescent="0.25">
      <c r="A45" t="s">
        <v>105</v>
      </c>
      <c r="B45" t="s">
        <v>24</v>
      </c>
      <c r="C45" t="s">
        <v>102</v>
      </c>
      <c r="D45" t="s">
        <v>106</v>
      </c>
      <c r="E45" t="s">
        <v>107</v>
      </c>
    </row>
    <row r="46" spans="1:5" x14ac:dyDescent="0.25">
      <c r="A46" t="s">
        <v>108</v>
      </c>
      <c r="B46" t="s">
        <v>24</v>
      </c>
      <c r="C46" t="s">
        <v>102</v>
      </c>
      <c r="D46" t="s">
        <v>103</v>
      </c>
      <c r="E46" t="s">
        <v>106</v>
      </c>
    </row>
    <row r="47" spans="1:5" x14ac:dyDescent="0.25">
      <c r="A47" t="s">
        <v>109</v>
      </c>
      <c r="B47" t="s">
        <v>24</v>
      </c>
      <c r="C47" t="s">
        <v>102</v>
      </c>
      <c r="D47" t="s">
        <v>107</v>
      </c>
      <c r="E47" t="s">
        <v>104</v>
      </c>
    </row>
    <row r="48" spans="1:5" x14ac:dyDescent="0.25">
      <c r="A48" t="s">
        <v>110</v>
      </c>
      <c r="B48" t="s">
        <v>24</v>
      </c>
      <c r="C48" t="s">
        <v>102</v>
      </c>
      <c r="D48" t="s">
        <v>107</v>
      </c>
      <c r="E48" t="s">
        <v>103</v>
      </c>
    </row>
    <row r="49" spans="1:5" x14ac:dyDescent="0.25">
      <c r="A49" t="s">
        <v>111</v>
      </c>
      <c r="B49" t="s">
        <v>24</v>
      </c>
      <c r="C49" t="s">
        <v>102</v>
      </c>
      <c r="D49" t="s">
        <v>104</v>
      </c>
      <c r="E49" t="s">
        <v>106</v>
      </c>
    </row>
    <row r="50" spans="1:5" x14ac:dyDescent="0.25">
      <c r="A50" t="s">
        <v>112</v>
      </c>
      <c r="B50" t="s">
        <v>24</v>
      </c>
      <c r="C50" t="s">
        <v>113</v>
      </c>
      <c r="D50" t="s">
        <v>114</v>
      </c>
      <c r="E50" t="s">
        <v>115</v>
      </c>
    </row>
    <row r="51" spans="1:5" x14ac:dyDescent="0.25">
      <c r="A51" t="s">
        <v>116</v>
      </c>
      <c r="B51" t="s">
        <v>24</v>
      </c>
      <c r="C51" t="s">
        <v>113</v>
      </c>
      <c r="D51" t="s">
        <v>117</v>
      </c>
      <c r="E51" t="s">
        <v>118</v>
      </c>
    </row>
    <row r="52" spans="1:5" x14ac:dyDescent="0.25">
      <c r="A52" t="s">
        <v>119</v>
      </c>
      <c r="B52" t="s">
        <v>24</v>
      </c>
      <c r="C52" t="s">
        <v>113</v>
      </c>
      <c r="D52" t="s">
        <v>114</v>
      </c>
      <c r="E52" t="s">
        <v>117</v>
      </c>
    </row>
    <row r="53" spans="1:5" x14ac:dyDescent="0.25">
      <c r="A53" t="s">
        <v>120</v>
      </c>
      <c r="B53" t="s">
        <v>24</v>
      </c>
      <c r="C53" t="s">
        <v>113</v>
      </c>
      <c r="D53" t="s">
        <v>118</v>
      </c>
      <c r="E53" t="s">
        <v>115</v>
      </c>
    </row>
    <row r="54" spans="1:5" x14ac:dyDescent="0.25">
      <c r="A54" t="s">
        <v>121</v>
      </c>
      <c r="B54" t="s">
        <v>24</v>
      </c>
      <c r="C54" t="s">
        <v>113</v>
      </c>
      <c r="D54" t="s">
        <v>118</v>
      </c>
      <c r="E54" t="s">
        <v>114</v>
      </c>
    </row>
    <row r="55" spans="1:5" x14ac:dyDescent="0.25">
      <c r="A55" t="s">
        <v>122</v>
      </c>
      <c r="B55" t="s">
        <v>24</v>
      </c>
      <c r="C55" t="s">
        <v>113</v>
      </c>
      <c r="D55" t="s">
        <v>115</v>
      </c>
      <c r="E55" t="s">
        <v>117</v>
      </c>
    </row>
    <row r="56" spans="1:5" x14ac:dyDescent="0.25">
      <c r="A56" t="s">
        <v>123</v>
      </c>
      <c r="B56" t="s">
        <v>24</v>
      </c>
      <c r="C56" t="s">
        <v>124</v>
      </c>
      <c r="D56" t="s">
        <v>125</v>
      </c>
      <c r="E56" t="s">
        <v>126</v>
      </c>
    </row>
    <row r="57" spans="1:5" x14ac:dyDescent="0.25">
      <c r="A57" t="s">
        <v>127</v>
      </c>
      <c r="B57" t="s">
        <v>24</v>
      </c>
      <c r="C57" t="s">
        <v>124</v>
      </c>
      <c r="D57" t="s">
        <v>128</v>
      </c>
      <c r="E57" t="s">
        <v>129</v>
      </c>
    </row>
    <row r="58" spans="1:5" x14ac:dyDescent="0.25">
      <c r="A58" t="s">
        <v>130</v>
      </c>
      <c r="B58" t="s">
        <v>24</v>
      </c>
      <c r="C58" t="s">
        <v>124</v>
      </c>
      <c r="D58" t="s">
        <v>125</v>
      </c>
      <c r="E58" t="s">
        <v>128</v>
      </c>
    </row>
    <row r="59" spans="1:5" x14ac:dyDescent="0.25">
      <c r="A59" t="s">
        <v>131</v>
      </c>
      <c r="B59" t="s">
        <v>24</v>
      </c>
      <c r="C59" t="s">
        <v>124</v>
      </c>
      <c r="D59" t="s">
        <v>129</v>
      </c>
      <c r="E59" t="s">
        <v>126</v>
      </c>
    </row>
    <row r="60" spans="1:5" x14ac:dyDescent="0.25">
      <c r="A60" t="s">
        <v>132</v>
      </c>
      <c r="B60" t="s">
        <v>24</v>
      </c>
      <c r="C60" t="s">
        <v>124</v>
      </c>
      <c r="D60" t="s">
        <v>129</v>
      </c>
      <c r="E60" t="s">
        <v>125</v>
      </c>
    </row>
    <row r="61" spans="1:5" x14ac:dyDescent="0.25">
      <c r="A61" t="s">
        <v>133</v>
      </c>
      <c r="B61" t="s">
        <v>24</v>
      </c>
      <c r="C61" t="s">
        <v>124</v>
      </c>
      <c r="D61" t="s">
        <v>126</v>
      </c>
      <c r="E61" t="s">
        <v>128</v>
      </c>
    </row>
    <row r="62" spans="1:5" x14ac:dyDescent="0.25">
      <c r="A62" t="s">
        <v>134</v>
      </c>
      <c r="B62" t="s">
        <v>24</v>
      </c>
      <c r="C62" t="s">
        <v>135</v>
      </c>
      <c r="D62" t="s">
        <v>136</v>
      </c>
      <c r="E62" t="s">
        <v>137</v>
      </c>
    </row>
    <row r="63" spans="1:5" x14ac:dyDescent="0.25">
      <c r="A63" t="s">
        <v>138</v>
      </c>
      <c r="B63" t="s">
        <v>24</v>
      </c>
      <c r="C63" t="s">
        <v>135</v>
      </c>
      <c r="D63" t="s">
        <v>139</v>
      </c>
      <c r="E63" t="s">
        <v>140</v>
      </c>
    </row>
    <row r="64" spans="1:5" x14ac:dyDescent="0.25">
      <c r="A64" t="s">
        <v>141</v>
      </c>
      <c r="B64" t="s">
        <v>24</v>
      </c>
      <c r="C64" t="s">
        <v>135</v>
      </c>
      <c r="D64" t="s">
        <v>136</v>
      </c>
      <c r="E64" t="s">
        <v>139</v>
      </c>
    </row>
    <row r="65" spans="1:5" x14ac:dyDescent="0.25">
      <c r="A65" t="s">
        <v>142</v>
      </c>
      <c r="B65" t="s">
        <v>24</v>
      </c>
      <c r="C65" t="s">
        <v>135</v>
      </c>
      <c r="D65" t="s">
        <v>140</v>
      </c>
      <c r="E65" t="s">
        <v>137</v>
      </c>
    </row>
    <row r="66" spans="1:5" x14ac:dyDescent="0.25">
      <c r="A66" t="s">
        <v>143</v>
      </c>
      <c r="B66" t="s">
        <v>24</v>
      </c>
      <c r="C66" t="s">
        <v>135</v>
      </c>
      <c r="D66" t="s">
        <v>140</v>
      </c>
      <c r="E66" t="s">
        <v>136</v>
      </c>
    </row>
    <row r="67" spans="1:5" x14ac:dyDescent="0.25">
      <c r="A67" t="s">
        <v>144</v>
      </c>
      <c r="B67" t="s">
        <v>24</v>
      </c>
      <c r="C67" t="s">
        <v>135</v>
      </c>
      <c r="D67" t="s">
        <v>137</v>
      </c>
      <c r="E67" t="s">
        <v>139</v>
      </c>
    </row>
    <row r="68" spans="1:5" x14ac:dyDescent="0.25">
      <c r="A68" t="s">
        <v>145</v>
      </c>
      <c r="B68" t="s">
        <v>24</v>
      </c>
      <c r="C68" t="s">
        <v>146</v>
      </c>
      <c r="D68" t="s">
        <v>147</v>
      </c>
      <c r="E68" t="s">
        <v>148</v>
      </c>
    </row>
    <row r="69" spans="1:5" x14ac:dyDescent="0.25">
      <c r="A69" t="s">
        <v>149</v>
      </c>
      <c r="B69" t="s">
        <v>24</v>
      </c>
      <c r="C69" t="s">
        <v>146</v>
      </c>
      <c r="D69" t="s">
        <v>150</v>
      </c>
      <c r="E69" t="s">
        <v>151</v>
      </c>
    </row>
    <row r="70" spans="1:5" x14ac:dyDescent="0.25">
      <c r="A70" t="s">
        <v>152</v>
      </c>
      <c r="B70" t="s">
        <v>24</v>
      </c>
      <c r="C70" t="s">
        <v>146</v>
      </c>
      <c r="D70" t="s">
        <v>147</v>
      </c>
      <c r="E70" t="s">
        <v>150</v>
      </c>
    </row>
    <row r="71" spans="1:5" x14ac:dyDescent="0.25">
      <c r="A71" t="s">
        <v>153</v>
      </c>
      <c r="B71" t="s">
        <v>24</v>
      </c>
      <c r="C71" t="s">
        <v>146</v>
      </c>
      <c r="D71" t="s">
        <v>151</v>
      </c>
      <c r="E71" t="s">
        <v>148</v>
      </c>
    </row>
    <row r="72" spans="1:5" x14ac:dyDescent="0.25">
      <c r="A72" t="s">
        <v>154</v>
      </c>
      <c r="B72" t="s">
        <v>24</v>
      </c>
      <c r="C72" t="s">
        <v>146</v>
      </c>
      <c r="D72" t="s">
        <v>151</v>
      </c>
      <c r="E72" t="s">
        <v>147</v>
      </c>
    </row>
    <row r="73" spans="1:5" x14ac:dyDescent="0.25">
      <c r="A73" t="s">
        <v>155</v>
      </c>
      <c r="B73" t="s">
        <v>24</v>
      </c>
      <c r="C73" t="s">
        <v>146</v>
      </c>
      <c r="D73" t="s">
        <v>148</v>
      </c>
      <c r="E73" t="s">
        <v>150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FormatPr defaultRowHeight="15" outlineLevelRow="0" outlineLevelCol="0" x14ac:dyDescent="55"/>
  <cols>
    <col min="1" max="1" width="28" customWidth="1"/>
    <col min="2" max="2" width="10" customWidth="1"/>
    <col min="3" max="3" width="60" customWidth="1"/>
  </cols>
  <sheetData>
    <row r="1" spans="1:3" s="4" customFormat="1" x14ac:dyDescent="0.25">
      <c r="A1" s="4" t="s">
        <v>156</v>
      </c>
      <c r="B1" s="4" t="s">
        <v>157</v>
      </c>
      <c r="C1" s="4" t="s">
        <v>158</v>
      </c>
    </row>
    <row r="2" spans="1:3" x14ac:dyDescent="0.25">
      <c r="A2" s="4" t="s">
        <v>159</v>
      </c>
      <c r="B2" s="5">
        <v>2</v>
      </c>
      <c r="C2" s="2" t="s">
        <v>160</v>
      </c>
    </row>
    <row r="3" spans="1:3" x14ac:dyDescent="0.25">
      <c r="A3" s="4" t="s">
        <v>161</v>
      </c>
      <c r="B3" s="5">
        <v>1</v>
      </c>
      <c r="C3" s="2" t="s">
        <v>162</v>
      </c>
    </row>
    <row r="4" spans="1:3" x14ac:dyDescent="0.25">
      <c r="A4" s="4" t="s">
        <v>163</v>
      </c>
      <c r="B4" s="5">
        <v>2</v>
      </c>
      <c r="C4" s="2" t="s">
        <v>164</v>
      </c>
    </row>
    <row r="5" spans="1:3" x14ac:dyDescent="0.25">
      <c r="A5" s="4" t="s">
        <v>165</v>
      </c>
      <c r="B5" s="5">
        <v>1</v>
      </c>
      <c r="C5" s="2" t="s">
        <v>166</v>
      </c>
    </row>
    <row r="6" spans="1:3" x14ac:dyDescent="0.25">
      <c r="A6" s="4" t="s">
        <v>167</v>
      </c>
      <c r="B6" s="5">
        <v>12</v>
      </c>
      <c r="C6" s="2" t="s">
        <v>168</v>
      </c>
    </row>
    <row r="7" spans="1:3" x14ac:dyDescent="0.25">
      <c r="A7" s="4" t="s">
        <v>169</v>
      </c>
      <c r="B7" s="5">
        <v>8</v>
      </c>
      <c r="C7" s="2" t="s">
        <v>170</v>
      </c>
    </row>
    <row r="8" spans="1:3" x14ac:dyDescent="0.25">
      <c r="A8" s="4" t="s">
        <v>171</v>
      </c>
      <c r="B8" s="5">
        <v>6</v>
      </c>
      <c r="C8" s="2" t="s">
        <v>172</v>
      </c>
    </row>
    <row r="9" spans="1:3" x14ac:dyDescent="0.25">
      <c r="A9" s="4" t="s">
        <v>173</v>
      </c>
      <c r="B9" s="5">
        <v>4</v>
      </c>
      <c r="C9" s="2" t="s">
        <v>174</v>
      </c>
    </row>
    <row r="10" spans="1:3" x14ac:dyDescent="0.25">
      <c r="A10" s="4" t="s">
        <v>175</v>
      </c>
      <c r="B10" s="5">
        <v>9</v>
      </c>
      <c r="C10" s="2" t="s">
        <v>176</v>
      </c>
    </row>
    <row r="11" spans="1:3" x14ac:dyDescent="0.25">
      <c r="A11" s="4" t="s">
        <v>177</v>
      </c>
      <c r="B11" s="5">
        <v>7</v>
      </c>
      <c r="C11" s="2" t="s">
        <v>178</v>
      </c>
    </row>
    <row r="12" spans="1:3" x14ac:dyDescent="0.25">
      <c r="A12" s="4" t="s">
        <v>179</v>
      </c>
      <c r="B12" s="5">
        <v>6</v>
      </c>
      <c r="C12" s="2" t="s">
        <v>180</v>
      </c>
    </row>
    <row r="13" spans="1:3" x14ac:dyDescent="0.25">
      <c r="A13" s="4" t="s">
        <v>181</v>
      </c>
      <c r="B13" s="5">
        <v>5</v>
      </c>
      <c r="C13" s="2" t="s">
        <v>182</v>
      </c>
    </row>
    <row r="14" spans="1:3" x14ac:dyDescent="0.25">
      <c r="A14" s="4" t="s">
        <v>183</v>
      </c>
      <c r="B14" s="5">
        <v>5</v>
      </c>
      <c r="C14" s="2" t="s">
        <v>184</v>
      </c>
    </row>
    <row r="15" spans="1:3" x14ac:dyDescent="0.25">
      <c r="A15" s="4" t="s">
        <v>185</v>
      </c>
      <c r="B15" s="5">
        <v>5</v>
      </c>
      <c r="C15" s="2" t="s">
        <v>186</v>
      </c>
    </row>
    <row r="16" spans="1:3" x14ac:dyDescent="0.25">
      <c r="A16" s="4" t="s">
        <v>187</v>
      </c>
      <c r="B16" s="5">
        <v>5</v>
      </c>
      <c r="C16" s="2" t="s">
        <v>188</v>
      </c>
    </row>
    <row r="17" spans="1:3" x14ac:dyDescent="0.25">
      <c r="A17" s="4" t="s">
        <v>189</v>
      </c>
      <c r="B17" s="5">
        <v>5</v>
      </c>
      <c r="C17" s="2" t="s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Y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28" customWidth="1"/>
    <col min="2" max="2" width="18" customWidth="1"/>
    <col min="3" max="4" width="5" customWidth="1"/>
    <col min="5" max="6" width="7" customWidth="1"/>
    <col min="7" max="8" width="5" customWidth="1"/>
    <col min="9" max="10" width="7" customWidth="1"/>
    <col min="11" max="12" width="5" customWidth="1"/>
    <col min="13" max="14" width="7" customWidth="1"/>
    <col min="15" max="16" width="5" customWidth="1"/>
    <col min="17" max="18" width="7" customWidth="1"/>
    <col min="19" max="20" width="5" customWidth="1"/>
    <col min="21" max="22" width="7" customWidth="1"/>
    <col min="23" max="24" width="5" customWidth="1"/>
    <col min="25" max="26" width="7" customWidth="1"/>
    <col min="27" max="28" width="5" customWidth="1"/>
    <col min="29" max="30" width="7" customWidth="1"/>
    <col min="31" max="32" width="5" customWidth="1"/>
    <col min="33" max="34" width="7" customWidth="1"/>
    <col min="35" max="36" width="5" customWidth="1"/>
    <col min="37" max="38" width="7" customWidth="1"/>
    <col min="39" max="40" width="5" customWidth="1"/>
    <col min="41" max="42" width="7" customWidth="1"/>
    <col min="43" max="44" width="5" customWidth="1"/>
    <col min="45" max="46" width="7" customWidth="1"/>
    <col min="47" max="48" width="5" customWidth="1"/>
    <col min="49" max="50" width="7" customWidth="1"/>
    <col min="51" max="52" width="5" customWidth="1"/>
    <col min="53" max="54" width="7" customWidth="1"/>
    <col min="55" max="56" width="5" customWidth="1"/>
    <col min="57" max="58" width="7" customWidth="1"/>
    <col min="59" max="60" width="5" customWidth="1"/>
    <col min="61" max="62" width="7" customWidth="1"/>
    <col min="63" max="64" width="5" customWidth="1"/>
    <col min="65" max="66" width="7" customWidth="1"/>
    <col min="67" max="68" width="5" customWidth="1"/>
    <col min="69" max="70" width="7" customWidth="1"/>
    <col min="71" max="72" width="5" customWidth="1"/>
    <col min="73" max="74" width="7" customWidth="1"/>
    <col min="75" max="76" width="5" customWidth="1"/>
    <col min="77" max="78" width="7" customWidth="1"/>
    <col min="79" max="80" width="5" customWidth="1"/>
    <col min="81" max="82" width="7" customWidth="1"/>
    <col min="83" max="84" width="5" customWidth="1"/>
    <col min="85" max="86" width="7" customWidth="1"/>
    <col min="87" max="88" width="5" customWidth="1"/>
    <col min="89" max="90" width="7" customWidth="1"/>
    <col min="91" max="92" width="5" customWidth="1"/>
    <col min="93" max="94" width="7" customWidth="1"/>
    <col min="95" max="96" width="5" customWidth="1"/>
    <col min="97" max="98" width="7" customWidth="1"/>
    <col min="99" max="100" width="5" customWidth="1"/>
    <col min="101" max="102" width="7" customWidth="1"/>
    <col min="103" max="104" width="5" customWidth="1"/>
    <col min="105" max="106" width="7" customWidth="1"/>
    <col min="107" max="108" width="5" customWidth="1"/>
    <col min="109" max="110" width="7" customWidth="1"/>
    <col min="111" max="112" width="5" customWidth="1"/>
    <col min="113" max="114" width="7" customWidth="1"/>
    <col min="115" max="116" width="5" customWidth="1"/>
    <col min="117" max="118" width="7" customWidth="1"/>
    <col min="119" max="120" width="5" customWidth="1"/>
    <col min="121" max="122" width="7" customWidth="1"/>
    <col min="123" max="124" width="5" customWidth="1"/>
    <col min="125" max="126" width="7" customWidth="1"/>
    <col min="127" max="128" width="5" customWidth="1"/>
    <col min="129" max="130" width="7" customWidth="1"/>
    <col min="131" max="132" width="5" customWidth="1"/>
    <col min="133" max="134" width="7" customWidth="1"/>
    <col min="135" max="136" width="5" customWidth="1"/>
    <col min="137" max="138" width="7" customWidth="1"/>
    <col min="139" max="140" width="5" customWidth="1"/>
    <col min="141" max="142" width="7" customWidth="1"/>
    <col min="143" max="144" width="5" customWidth="1"/>
    <col min="145" max="146" width="7" customWidth="1"/>
    <col min="147" max="148" width="5" customWidth="1"/>
    <col min="149" max="150" width="7" customWidth="1"/>
    <col min="151" max="152" width="5" customWidth="1"/>
    <col min="153" max="154" width="7" customWidth="1"/>
    <col min="155" max="156" width="5" customWidth="1"/>
    <col min="157" max="158" width="7" customWidth="1"/>
    <col min="159" max="160" width="5" customWidth="1"/>
    <col min="161" max="162" width="7" customWidth="1"/>
    <col min="163" max="164" width="5" customWidth="1"/>
    <col min="165" max="166" width="7" customWidth="1"/>
    <col min="167" max="168" width="5" customWidth="1"/>
    <col min="169" max="170" width="7" customWidth="1"/>
    <col min="171" max="172" width="5" customWidth="1"/>
    <col min="173" max="174" width="7" customWidth="1"/>
    <col min="175" max="176" width="5" customWidth="1"/>
    <col min="177" max="178" width="7" customWidth="1"/>
    <col min="179" max="180" width="5" customWidth="1"/>
    <col min="181" max="182" width="7" customWidth="1"/>
    <col min="183" max="184" width="5" customWidth="1"/>
    <col min="185" max="186" width="7" customWidth="1"/>
    <col min="187" max="188" width="5" customWidth="1"/>
    <col min="189" max="190" width="7" customWidth="1"/>
    <col min="191" max="192" width="5" customWidth="1"/>
    <col min="193" max="194" width="7" customWidth="1"/>
    <col min="195" max="196" width="5" customWidth="1"/>
    <col min="197" max="198" width="7" customWidth="1"/>
    <col min="199" max="200" width="5" customWidth="1"/>
    <col min="201" max="202" width="7" customWidth="1"/>
    <col min="203" max="204" width="5" customWidth="1"/>
    <col min="205" max="206" width="7" customWidth="1"/>
    <col min="207" max="208" width="5" customWidth="1"/>
    <col min="209" max="210" width="7" customWidth="1"/>
    <col min="211" max="212" width="5" customWidth="1"/>
    <col min="213" max="214" width="7" customWidth="1"/>
    <col min="215" max="216" width="5" customWidth="1"/>
    <col min="217" max="218" width="7" customWidth="1"/>
    <col min="219" max="220" width="5" customWidth="1"/>
    <col min="221" max="222" width="7" customWidth="1"/>
    <col min="223" max="224" width="5" customWidth="1"/>
    <col min="225" max="226" width="7" customWidth="1"/>
    <col min="227" max="228" width="5" customWidth="1"/>
    <col min="229" max="230" width="7" customWidth="1"/>
    <col min="231" max="232" width="5" customWidth="1"/>
    <col min="233" max="234" width="7" customWidth="1"/>
    <col min="235" max="236" width="5" customWidth="1"/>
    <col min="237" max="238" width="7" customWidth="1"/>
    <col min="239" max="240" width="5" customWidth="1"/>
    <col min="241" max="242" width="7" customWidth="1"/>
    <col min="243" max="244" width="5" customWidth="1"/>
    <col min="245" max="246" width="7" customWidth="1"/>
    <col min="247" max="248" width="5" customWidth="1"/>
    <col min="249" max="250" width="7" customWidth="1"/>
    <col min="251" max="252" width="5" customWidth="1"/>
    <col min="253" max="254" width="7" customWidth="1"/>
    <col min="255" max="256" width="5" customWidth="1"/>
    <col min="257" max="258" width="7" customWidth="1"/>
    <col min="259" max="260" width="5" customWidth="1"/>
    <col min="261" max="262" width="7" customWidth="1"/>
    <col min="263" max="264" width="5" customWidth="1"/>
    <col min="265" max="266" width="7" customWidth="1"/>
    <col min="267" max="268" width="5" customWidth="1"/>
    <col min="269" max="270" width="7" customWidth="1"/>
    <col min="271" max="272" width="5" customWidth="1"/>
    <col min="273" max="274" width="7" customWidth="1"/>
    <col min="275" max="276" width="5" customWidth="1"/>
    <col min="277" max="278" width="7" customWidth="1"/>
    <col min="279" max="280" width="5" customWidth="1"/>
    <col min="281" max="282" width="7" customWidth="1"/>
    <col min="283" max="284" width="5" customWidth="1"/>
    <col min="285" max="286" width="7" customWidth="1"/>
    <col min="287" max="288" width="5" customWidth="1"/>
    <col min="289" max="290" width="7" customWidth="1"/>
    <col min="291" max="362" width="6" customWidth="1"/>
    <col min="363" max="363" width="14" customWidth="1"/>
  </cols>
  <sheetData>
    <row r="1" spans="1:363" s="6" customFormat="1" x14ac:dyDescent="0.25">
      <c r="A1" s="6" t="s">
        <v>191</v>
      </c>
      <c r="B1" s="6" t="s">
        <v>192</v>
      </c>
      <c r="C1" s="6" t="s">
        <v>193</v>
      </c>
      <c r="D1" s="6" t="s">
        <v>194</v>
      </c>
      <c r="E1" s="6" t="s">
        <v>195</v>
      </c>
      <c r="F1" s="6" t="s">
        <v>196</v>
      </c>
      <c r="G1" s="6" t="s">
        <v>197</v>
      </c>
      <c r="H1" s="6" t="s">
        <v>198</v>
      </c>
      <c r="I1" s="6" t="s">
        <v>199</v>
      </c>
      <c r="J1" s="6" t="s">
        <v>200</v>
      </c>
      <c r="K1" s="6" t="s">
        <v>201</v>
      </c>
      <c r="L1" s="6" t="s">
        <v>202</v>
      </c>
      <c r="M1" s="6" t="s">
        <v>203</v>
      </c>
      <c r="N1" s="6" t="s">
        <v>204</v>
      </c>
      <c r="O1" s="6" t="s">
        <v>205</v>
      </c>
      <c r="P1" s="6" t="s">
        <v>206</v>
      </c>
      <c r="Q1" s="6" t="s">
        <v>207</v>
      </c>
      <c r="R1" s="6" t="s">
        <v>208</v>
      </c>
      <c r="S1" s="6" t="s">
        <v>209</v>
      </c>
      <c r="T1" s="6" t="s">
        <v>210</v>
      </c>
      <c r="U1" s="6" t="s">
        <v>211</v>
      </c>
      <c r="V1" s="6" t="s">
        <v>212</v>
      </c>
      <c r="W1" s="6" t="s">
        <v>213</v>
      </c>
      <c r="X1" s="6" t="s">
        <v>214</v>
      </c>
      <c r="Y1" s="6" t="s">
        <v>215</v>
      </c>
      <c r="Z1" s="6" t="s">
        <v>216</v>
      </c>
      <c r="AA1" s="6" t="s">
        <v>217</v>
      </c>
      <c r="AB1" s="6" t="s">
        <v>218</v>
      </c>
      <c r="AC1" s="6" t="s">
        <v>219</v>
      </c>
      <c r="AD1" s="6" t="s">
        <v>220</v>
      </c>
      <c r="AE1" s="6" t="s">
        <v>221</v>
      </c>
      <c r="AF1" s="6" t="s">
        <v>222</v>
      </c>
      <c r="AG1" s="6" t="s">
        <v>223</v>
      </c>
      <c r="AH1" s="6" t="s">
        <v>224</v>
      </c>
      <c r="AI1" s="6" t="s">
        <v>225</v>
      </c>
      <c r="AJ1" s="6" t="s">
        <v>226</v>
      </c>
      <c r="AK1" s="6" t="s">
        <v>227</v>
      </c>
      <c r="AL1" s="6" t="s">
        <v>228</v>
      </c>
      <c r="AM1" s="6" t="s">
        <v>229</v>
      </c>
      <c r="AN1" s="6" t="s">
        <v>230</v>
      </c>
      <c r="AO1" s="6" t="s">
        <v>231</v>
      </c>
      <c r="AP1" s="6" t="s">
        <v>232</v>
      </c>
      <c r="AQ1" s="6" t="s">
        <v>233</v>
      </c>
      <c r="AR1" s="6" t="s">
        <v>234</v>
      </c>
      <c r="AS1" s="6" t="s">
        <v>235</v>
      </c>
      <c r="AT1" s="6" t="s">
        <v>236</v>
      </c>
      <c r="AU1" s="6" t="s">
        <v>237</v>
      </c>
      <c r="AV1" s="6" t="s">
        <v>238</v>
      </c>
      <c r="AW1" s="6" t="s">
        <v>239</v>
      </c>
      <c r="AX1" s="6" t="s">
        <v>240</v>
      </c>
      <c r="AY1" s="6" t="s">
        <v>241</v>
      </c>
      <c r="AZ1" s="6" t="s">
        <v>242</v>
      </c>
      <c r="BA1" s="6" t="s">
        <v>243</v>
      </c>
      <c r="BB1" s="6" t="s">
        <v>244</v>
      </c>
      <c r="BC1" s="6" t="s">
        <v>245</v>
      </c>
      <c r="BD1" s="6" t="s">
        <v>246</v>
      </c>
      <c r="BE1" s="6" t="s">
        <v>247</v>
      </c>
      <c r="BF1" s="6" t="s">
        <v>248</v>
      </c>
      <c r="BG1" s="6" t="s">
        <v>249</v>
      </c>
      <c r="BH1" s="6" t="s">
        <v>250</v>
      </c>
      <c r="BI1" s="6" t="s">
        <v>251</v>
      </c>
      <c r="BJ1" s="6" t="s">
        <v>252</v>
      </c>
      <c r="BK1" s="6" t="s">
        <v>253</v>
      </c>
      <c r="BL1" s="6" t="s">
        <v>254</v>
      </c>
      <c r="BM1" s="6" t="s">
        <v>255</v>
      </c>
      <c r="BN1" s="6" t="s">
        <v>256</v>
      </c>
      <c r="BO1" s="6" t="s">
        <v>257</v>
      </c>
      <c r="BP1" s="6" t="s">
        <v>258</v>
      </c>
      <c r="BQ1" s="6" t="s">
        <v>259</v>
      </c>
      <c r="BR1" s="6" t="s">
        <v>260</v>
      </c>
      <c r="BS1" s="6" t="s">
        <v>261</v>
      </c>
      <c r="BT1" s="6" t="s">
        <v>262</v>
      </c>
      <c r="BU1" s="6" t="s">
        <v>263</v>
      </c>
      <c r="BV1" s="6" t="s">
        <v>264</v>
      </c>
      <c r="BW1" s="6" t="s">
        <v>265</v>
      </c>
      <c r="BX1" s="6" t="s">
        <v>266</v>
      </c>
      <c r="BY1" s="6" t="s">
        <v>267</v>
      </c>
      <c r="BZ1" s="6" t="s">
        <v>268</v>
      </c>
      <c r="CA1" s="6" t="s">
        <v>269</v>
      </c>
      <c r="CB1" s="6" t="s">
        <v>270</v>
      </c>
      <c r="CC1" s="6" t="s">
        <v>271</v>
      </c>
      <c r="CD1" s="6" t="s">
        <v>272</v>
      </c>
      <c r="CE1" s="6" t="s">
        <v>273</v>
      </c>
      <c r="CF1" s="6" t="s">
        <v>274</v>
      </c>
      <c r="CG1" s="6" t="s">
        <v>275</v>
      </c>
      <c r="CH1" s="6" t="s">
        <v>276</v>
      </c>
      <c r="CI1" s="6" t="s">
        <v>277</v>
      </c>
      <c r="CJ1" s="6" t="s">
        <v>278</v>
      </c>
      <c r="CK1" s="6" t="s">
        <v>279</v>
      </c>
      <c r="CL1" s="6" t="s">
        <v>280</v>
      </c>
      <c r="CM1" s="6" t="s">
        <v>281</v>
      </c>
      <c r="CN1" s="6" t="s">
        <v>282</v>
      </c>
      <c r="CO1" s="6" t="s">
        <v>283</v>
      </c>
      <c r="CP1" s="6" t="s">
        <v>284</v>
      </c>
      <c r="CQ1" s="6" t="s">
        <v>285</v>
      </c>
      <c r="CR1" s="6" t="s">
        <v>286</v>
      </c>
      <c r="CS1" s="6" t="s">
        <v>287</v>
      </c>
      <c r="CT1" s="6" t="s">
        <v>288</v>
      </c>
      <c r="CU1" s="6" t="s">
        <v>289</v>
      </c>
      <c r="CV1" s="6" t="s">
        <v>290</v>
      </c>
      <c r="CW1" s="6" t="s">
        <v>291</v>
      </c>
      <c r="CX1" s="6" t="s">
        <v>292</v>
      </c>
      <c r="CY1" s="6" t="s">
        <v>293</v>
      </c>
      <c r="CZ1" s="6" t="s">
        <v>294</v>
      </c>
      <c r="DA1" s="6" t="s">
        <v>295</v>
      </c>
      <c r="DB1" s="6" t="s">
        <v>296</v>
      </c>
      <c r="DC1" s="6" t="s">
        <v>297</v>
      </c>
      <c r="DD1" s="6" t="s">
        <v>298</v>
      </c>
      <c r="DE1" s="6" t="s">
        <v>299</v>
      </c>
      <c r="DF1" s="6" t="s">
        <v>300</v>
      </c>
      <c r="DG1" s="6" t="s">
        <v>301</v>
      </c>
      <c r="DH1" s="6" t="s">
        <v>302</v>
      </c>
      <c r="DI1" s="6" t="s">
        <v>303</v>
      </c>
      <c r="DJ1" s="6" t="s">
        <v>304</v>
      </c>
      <c r="DK1" s="6" t="s">
        <v>305</v>
      </c>
      <c r="DL1" s="6" t="s">
        <v>306</v>
      </c>
      <c r="DM1" s="6" t="s">
        <v>307</v>
      </c>
      <c r="DN1" s="6" t="s">
        <v>308</v>
      </c>
      <c r="DO1" s="6" t="s">
        <v>309</v>
      </c>
      <c r="DP1" s="6" t="s">
        <v>310</v>
      </c>
      <c r="DQ1" s="6" t="s">
        <v>311</v>
      </c>
      <c r="DR1" s="6" t="s">
        <v>312</v>
      </c>
      <c r="DS1" s="6" t="s">
        <v>313</v>
      </c>
      <c r="DT1" s="6" t="s">
        <v>314</v>
      </c>
      <c r="DU1" s="6" t="s">
        <v>315</v>
      </c>
      <c r="DV1" s="6" t="s">
        <v>316</v>
      </c>
      <c r="DW1" s="6" t="s">
        <v>317</v>
      </c>
      <c r="DX1" s="6" t="s">
        <v>318</v>
      </c>
      <c r="DY1" s="6" t="s">
        <v>319</v>
      </c>
      <c r="DZ1" s="6" t="s">
        <v>320</v>
      </c>
      <c r="EA1" s="6" t="s">
        <v>321</v>
      </c>
      <c r="EB1" s="6" t="s">
        <v>322</v>
      </c>
      <c r="EC1" s="6" t="s">
        <v>323</v>
      </c>
      <c r="ED1" s="6" t="s">
        <v>324</v>
      </c>
      <c r="EE1" s="6" t="s">
        <v>325</v>
      </c>
      <c r="EF1" s="6" t="s">
        <v>326</v>
      </c>
      <c r="EG1" s="6" t="s">
        <v>327</v>
      </c>
      <c r="EH1" s="6" t="s">
        <v>328</v>
      </c>
      <c r="EI1" s="6" t="s">
        <v>329</v>
      </c>
      <c r="EJ1" s="6" t="s">
        <v>330</v>
      </c>
      <c r="EK1" s="6" t="s">
        <v>331</v>
      </c>
      <c r="EL1" s="6" t="s">
        <v>332</v>
      </c>
      <c r="EM1" s="6" t="s">
        <v>333</v>
      </c>
      <c r="EN1" s="6" t="s">
        <v>334</v>
      </c>
      <c r="EO1" s="6" t="s">
        <v>335</v>
      </c>
      <c r="EP1" s="6" t="s">
        <v>336</v>
      </c>
      <c r="EQ1" s="6" t="s">
        <v>337</v>
      </c>
      <c r="ER1" s="6" t="s">
        <v>338</v>
      </c>
      <c r="ES1" s="6" t="s">
        <v>339</v>
      </c>
      <c r="ET1" s="6" t="s">
        <v>340</v>
      </c>
      <c r="EU1" s="6" t="s">
        <v>341</v>
      </c>
      <c r="EV1" s="6" t="s">
        <v>342</v>
      </c>
      <c r="EW1" s="6" t="s">
        <v>343</v>
      </c>
      <c r="EX1" s="6" t="s">
        <v>344</v>
      </c>
      <c r="EY1" s="6" t="s">
        <v>345</v>
      </c>
      <c r="EZ1" s="6" t="s">
        <v>346</v>
      </c>
      <c r="FA1" s="6" t="s">
        <v>347</v>
      </c>
      <c r="FB1" s="6" t="s">
        <v>348</v>
      </c>
      <c r="FC1" s="6" t="s">
        <v>349</v>
      </c>
      <c r="FD1" s="6" t="s">
        <v>350</v>
      </c>
      <c r="FE1" s="6" t="s">
        <v>351</v>
      </c>
      <c r="FF1" s="6" t="s">
        <v>352</v>
      </c>
      <c r="FG1" s="6" t="s">
        <v>353</v>
      </c>
      <c r="FH1" s="6" t="s">
        <v>354</v>
      </c>
      <c r="FI1" s="6" t="s">
        <v>355</v>
      </c>
      <c r="FJ1" s="6" t="s">
        <v>356</v>
      </c>
      <c r="FK1" s="6" t="s">
        <v>357</v>
      </c>
      <c r="FL1" s="6" t="s">
        <v>358</v>
      </c>
      <c r="FM1" s="6" t="s">
        <v>359</v>
      </c>
      <c r="FN1" s="6" t="s">
        <v>360</v>
      </c>
      <c r="FO1" s="6" t="s">
        <v>361</v>
      </c>
      <c r="FP1" s="6" t="s">
        <v>362</v>
      </c>
      <c r="FQ1" s="6" t="s">
        <v>363</v>
      </c>
      <c r="FR1" s="6" t="s">
        <v>364</v>
      </c>
      <c r="FS1" s="6" t="s">
        <v>365</v>
      </c>
      <c r="FT1" s="6" t="s">
        <v>366</v>
      </c>
      <c r="FU1" s="6" t="s">
        <v>367</v>
      </c>
      <c r="FV1" s="6" t="s">
        <v>368</v>
      </c>
      <c r="FW1" s="6" t="s">
        <v>369</v>
      </c>
      <c r="FX1" s="6" t="s">
        <v>370</v>
      </c>
      <c r="FY1" s="6" t="s">
        <v>371</v>
      </c>
      <c r="FZ1" s="6" t="s">
        <v>372</v>
      </c>
      <c r="GA1" s="6" t="s">
        <v>373</v>
      </c>
      <c r="GB1" s="6" t="s">
        <v>374</v>
      </c>
      <c r="GC1" s="6" t="s">
        <v>375</v>
      </c>
      <c r="GD1" s="6" t="s">
        <v>376</v>
      </c>
      <c r="GE1" s="6" t="s">
        <v>377</v>
      </c>
      <c r="GF1" s="6" t="s">
        <v>378</v>
      </c>
      <c r="GG1" s="6" t="s">
        <v>379</v>
      </c>
      <c r="GH1" s="6" t="s">
        <v>380</v>
      </c>
      <c r="GI1" s="6" t="s">
        <v>381</v>
      </c>
      <c r="GJ1" s="6" t="s">
        <v>382</v>
      </c>
      <c r="GK1" s="6" t="s">
        <v>383</v>
      </c>
      <c r="GL1" s="6" t="s">
        <v>384</v>
      </c>
      <c r="GM1" s="6" t="s">
        <v>385</v>
      </c>
      <c r="GN1" s="6" t="s">
        <v>386</v>
      </c>
      <c r="GO1" s="6" t="s">
        <v>387</v>
      </c>
      <c r="GP1" s="6" t="s">
        <v>388</v>
      </c>
      <c r="GQ1" s="6" t="s">
        <v>389</v>
      </c>
      <c r="GR1" s="6" t="s">
        <v>390</v>
      </c>
      <c r="GS1" s="6" t="s">
        <v>391</v>
      </c>
      <c r="GT1" s="6" t="s">
        <v>392</v>
      </c>
      <c r="GU1" s="6" t="s">
        <v>393</v>
      </c>
      <c r="GV1" s="6" t="s">
        <v>394</v>
      </c>
      <c r="GW1" s="6" t="s">
        <v>395</v>
      </c>
      <c r="GX1" s="6" t="s">
        <v>396</v>
      </c>
      <c r="GY1" s="6" t="s">
        <v>397</v>
      </c>
      <c r="GZ1" s="6" t="s">
        <v>398</v>
      </c>
      <c r="HA1" s="6" t="s">
        <v>399</v>
      </c>
      <c r="HB1" s="6" t="s">
        <v>400</v>
      </c>
      <c r="HC1" s="6" t="s">
        <v>401</v>
      </c>
      <c r="HD1" s="6" t="s">
        <v>402</v>
      </c>
      <c r="HE1" s="6" t="s">
        <v>403</v>
      </c>
      <c r="HF1" s="6" t="s">
        <v>404</v>
      </c>
      <c r="HG1" s="6" t="s">
        <v>405</v>
      </c>
      <c r="HH1" s="6" t="s">
        <v>406</v>
      </c>
      <c r="HI1" s="6" t="s">
        <v>407</v>
      </c>
      <c r="HJ1" s="6" t="s">
        <v>408</v>
      </c>
      <c r="HK1" s="6" t="s">
        <v>409</v>
      </c>
      <c r="HL1" s="6" t="s">
        <v>410</v>
      </c>
      <c r="HM1" s="6" t="s">
        <v>411</v>
      </c>
      <c r="HN1" s="6" t="s">
        <v>412</v>
      </c>
      <c r="HO1" s="6" t="s">
        <v>413</v>
      </c>
      <c r="HP1" s="6" t="s">
        <v>414</v>
      </c>
      <c r="HQ1" s="6" t="s">
        <v>415</v>
      </c>
      <c r="HR1" s="6" t="s">
        <v>416</v>
      </c>
      <c r="HS1" s="6" t="s">
        <v>417</v>
      </c>
      <c r="HT1" s="6" t="s">
        <v>418</v>
      </c>
      <c r="HU1" s="6" t="s">
        <v>419</v>
      </c>
      <c r="HV1" s="6" t="s">
        <v>420</v>
      </c>
      <c r="HW1" s="6" t="s">
        <v>421</v>
      </c>
      <c r="HX1" s="6" t="s">
        <v>422</v>
      </c>
      <c r="HY1" s="6" t="s">
        <v>423</v>
      </c>
      <c r="HZ1" s="6" t="s">
        <v>424</v>
      </c>
      <c r="IA1" s="6" t="s">
        <v>425</v>
      </c>
      <c r="IB1" s="6" t="s">
        <v>426</v>
      </c>
      <c r="IC1" s="6" t="s">
        <v>427</v>
      </c>
      <c r="ID1" s="6" t="s">
        <v>428</v>
      </c>
      <c r="IE1" s="6" t="s">
        <v>429</v>
      </c>
      <c r="IF1" s="6" t="s">
        <v>430</v>
      </c>
      <c r="IG1" s="6" t="s">
        <v>431</v>
      </c>
      <c r="IH1" s="6" t="s">
        <v>432</v>
      </c>
      <c r="II1" s="6" t="s">
        <v>433</v>
      </c>
      <c r="IJ1" s="6" t="s">
        <v>434</v>
      </c>
      <c r="IK1" s="6" t="s">
        <v>435</v>
      </c>
      <c r="IL1" s="6" t="s">
        <v>436</v>
      </c>
      <c r="IM1" s="6" t="s">
        <v>437</v>
      </c>
      <c r="IN1" s="6" t="s">
        <v>438</v>
      </c>
      <c r="IO1" s="6" t="s">
        <v>439</v>
      </c>
      <c r="IP1" s="6" t="s">
        <v>440</v>
      </c>
      <c r="IQ1" s="6" t="s">
        <v>441</v>
      </c>
      <c r="IR1" s="6" t="s">
        <v>442</v>
      </c>
      <c r="IS1" s="6" t="s">
        <v>443</v>
      </c>
      <c r="IT1" s="6" t="s">
        <v>444</v>
      </c>
      <c r="IU1" s="6" t="s">
        <v>445</v>
      </c>
      <c r="IV1" s="6" t="s">
        <v>446</v>
      </c>
      <c r="IW1" s="6" t="s">
        <v>447</v>
      </c>
      <c r="IX1" s="6" t="s">
        <v>448</v>
      </c>
      <c r="IY1" s="6" t="s">
        <v>449</v>
      </c>
      <c r="IZ1" s="6" t="s">
        <v>450</v>
      </c>
      <c r="JA1" s="6" t="s">
        <v>451</v>
      </c>
      <c r="JB1" s="6" t="s">
        <v>452</v>
      </c>
      <c r="JC1" s="6" t="s">
        <v>453</v>
      </c>
      <c r="JD1" s="6" t="s">
        <v>454</v>
      </c>
      <c r="JE1" s="6" t="s">
        <v>455</v>
      </c>
      <c r="JF1" s="6" t="s">
        <v>456</v>
      </c>
      <c r="JG1" s="6" t="s">
        <v>457</v>
      </c>
      <c r="JH1" s="6" t="s">
        <v>458</v>
      </c>
      <c r="JI1" s="6" t="s">
        <v>459</v>
      </c>
      <c r="JJ1" s="6" t="s">
        <v>460</v>
      </c>
      <c r="JK1" s="6" t="s">
        <v>461</v>
      </c>
      <c r="JL1" s="6" t="s">
        <v>462</v>
      </c>
      <c r="JM1" s="6" t="s">
        <v>463</v>
      </c>
      <c r="JN1" s="6" t="s">
        <v>464</v>
      </c>
      <c r="JO1" s="6" t="s">
        <v>465</v>
      </c>
      <c r="JP1" s="6" t="s">
        <v>466</v>
      </c>
      <c r="JQ1" s="6" t="s">
        <v>467</v>
      </c>
      <c r="JR1" s="6" t="s">
        <v>468</v>
      </c>
      <c r="JS1" s="6" t="s">
        <v>469</v>
      </c>
      <c r="JT1" s="6" t="s">
        <v>470</v>
      </c>
      <c r="JU1" s="6" t="s">
        <v>471</v>
      </c>
      <c r="JV1" s="6" t="s">
        <v>472</v>
      </c>
      <c r="JW1" s="6" t="s">
        <v>473</v>
      </c>
      <c r="JX1" s="6" t="s">
        <v>474</v>
      </c>
      <c r="JY1" s="6" t="s">
        <v>475</v>
      </c>
      <c r="JZ1" s="6" t="s">
        <v>476</v>
      </c>
      <c r="KA1" s="6" t="s">
        <v>477</v>
      </c>
      <c r="KB1" s="6" t="s">
        <v>478</v>
      </c>
      <c r="KC1" s="6" t="s">
        <v>479</v>
      </c>
      <c r="KD1" s="6" t="s">
        <v>480</v>
      </c>
      <c r="KE1" s="6" t="s">
        <v>481</v>
      </c>
      <c r="KF1" s="6" t="s">
        <v>482</v>
      </c>
      <c r="KG1" s="6" t="s">
        <v>483</v>
      </c>
      <c r="KH1" s="6" t="s">
        <v>484</v>
      </c>
      <c r="KI1" s="6" t="s">
        <v>485</v>
      </c>
      <c r="KJ1" s="6" t="s">
        <v>486</v>
      </c>
      <c r="KK1" s="6" t="s">
        <v>487</v>
      </c>
      <c r="KL1" s="6" t="s">
        <v>488</v>
      </c>
      <c r="KM1" s="6" t="s">
        <v>489</v>
      </c>
      <c r="KN1" s="6" t="s">
        <v>490</v>
      </c>
      <c r="KO1" s="6" t="s">
        <v>491</v>
      </c>
      <c r="KP1" s="6" t="s">
        <v>492</v>
      </c>
      <c r="KQ1" s="6" t="s">
        <v>493</v>
      </c>
      <c r="KR1" s="6" t="s">
        <v>494</v>
      </c>
      <c r="KS1" s="6" t="s">
        <v>495</v>
      </c>
      <c r="KT1" s="6" t="s">
        <v>496</v>
      </c>
      <c r="KU1" s="6" t="s">
        <v>497</v>
      </c>
      <c r="KV1" s="6" t="s">
        <v>498</v>
      </c>
      <c r="KW1" s="6" t="s">
        <v>499</v>
      </c>
      <c r="KX1" s="6" t="s">
        <v>500</v>
      </c>
      <c r="KY1" s="6" t="s">
        <v>501</v>
      </c>
      <c r="KZ1" s="6" t="s">
        <v>502</v>
      </c>
      <c r="LA1" s="6" t="s">
        <v>503</v>
      </c>
      <c r="LB1" s="6" t="s">
        <v>504</v>
      </c>
      <c r="LC1" s="6" t="s">
        <v>505</v>
      </c>
      <c r="LD1" s="6" t="s">
        <v>506</v>
      </c>
      <c r="LE1" s="6" t="s">
        <v>507</v>
      </c>
      <c r="LF1" s="6" t="s">
        <v>508</v>
      </c>
      <c r="LG1" s="6" t="s">
        <v>509</v>
      </c>
      <c r="LH1" s="6" t="s">
        <v>510</v>
      </c>
      <c r="LI1" s="6" t="s">
        <v>511</v>
      </c>
      <c r="LJ1" s="6" t="s">
        <v>512</v>
      </c>
      <c r="LK1" s="6" t="s">
        <v>513</v>
      </c>
      <c r="LL1" s="6" t="s">
        <v>514</v>
      </c>
      <c r="LM1" s="6" t="s">
        <v>515</v>
      </c>
      <c r="LN1" s="6" t="s">
        <v>516</v>
      </c>
      <c r="LO1" s="6" t="s">
        <v>517</v>
      </c>
      <c r="LP1" s="6" t="s">
        <v>518</v>
      </c>
      <c r="LQ1" s="6" t="s">
        <v>519</v>
      </c>
      <c r="LR1" s="6" t="s">
        <v>520</v>
      </c>
      <c r="LS1" s="6" t="s">
        <v>521</v>
      </c>
      <c r="LT1" s="6" t="s">
        <v>522</v>
      </c>
      <c r="LU1" s="6" t="s">
        <v>523</v>
      </c>
      <c r="LV1" s="6" t="s">
        <v>524</v>
      </c>
      <c r="LW1" s="6" t="s">
        <v>525</v>
      </c>
      <c r="LX1" s="6" t="s">
        <v>526</v>
      </c>
      <c r="LY1" s="6" t="s">
        <v>527</v>
      </c>
      <c r="LZ1" s="6" t="s">
        <v>528</v>
      </c>
      <c r="MA1" s="6" t="s">
        <v>529</v>
      </c>
      <c r="MB1" s="6" t="s">
        <v>530</v>
      </c>
      <c r="MC1" s="6" t="s">
        <v>531</v>
      </c>
      <c r="MD1" s="6" t="s">
        <v>532</v>
      </c>
      <c r="ME1" s="6" t="s">
        <v>533</v>
      </c>
      <c r="MF1" s="6" t="s">
        <v>534</v>
      </c>
      <c r="MG1" s="6" t="s">
        <v>535</v>
      </c>
      <c r="MH1" s="6" t="s">
        <v>536</v>
      </c>
      <c r="MI1" s="6" t="s">
        <v>537</v>
      </c>
      <c r="MJ1" s="6" t="s">
        <v>538</v>
      </c>
      <c r="MK1" s="6" t="s">
        <v>539</v>
      </c>
      <c r="ML1" s="6" t="s">
        <v>540</v>
      </c>
      <c r="MM1" s="6" t="s">
        <v>541</v>
      </c>
      <c r="MN1" s="6" t="s">
        <v>542</v>
      </c>
      <c r="MO1" s="6" t="s">
        <v>543</v>
      </c>
      <c r="MP1" s="6" t="s">
        <v>544</v>
      </c>
      <c r="MQ1" s="6" t="s">
        <v>545</v>
      </c>
      <c r="MR1" s="6" t="s">
        <v>546</v>
      </c>
      <c r="MS1" s="6" t="s">
        <v>547</v>
      </c>
      <c r="MT1" s="6" t="s">
        <v>548</v>
      </c>
      <c r="MU1" s="6" t="s">
        <v>549</v>
      </c>
      <c r="MV1" s="6" t="s">
        <v>550</v>
      </c>
      <c r="MW1" s="6" t="s">
        <v>551</v>
      </c>
      <c r="MX1" s="6" t="s">
        <v>552</v>
      </c>
      <c r="MY1" s="6" t="s">
        <v>553</v>
      </c>
    </row>
    <row r="2" spans="1:363" x14ac:dyDescent="0.25">
      <c r="A2" t="s">
        <v>554</v>
      </c>
      <c r="B2" t="s">
        <v>555</v>
      </c>
      <c r="C2" t="s">
        <v>26</v>
      </c>
      <c r="D2" t="s">
        <v>27</v>
      </c>
      <c r="E2">
        <v>1</v>
      </c>
      <c r="F2">
        <v>1</v>
      </c>
      <c r="G2" t="s">
        <v>29</v>
      </c>
      <c r="H2" t="s">
        <v>30</v>
      </c>
      <c r="I2">
        <v>1</v>
      </c>
      <c r="J2">
        <v>2</v>
      </c>
      <c r="K2" t="s">
        <v>26</v>
      </c>
      <c r="L2" t="s">
        <v>29</v>
      </c>
      <c r="M2">
        <v>3</v>
      </c>
      <c r="N2">
        <v>0</v>
      </c>
      <c r="O2" t="s">
        <v>30</v>
      </c>
      <c r="P2" t="s">
        <v>27</v>
      </c>
      <c r="Q2">
        <v>3</v>
      </c>
      <c r="R2">
        <v>2</v>
      </c>
      <c r="S2" t="s">
        <v>30</v>
      </c>
      <c r="T2" t="s">
        <v>26</v>
      </c>
      <c r="U2">
        <v>3</v>
      </c>
      <c r="V2">
        <v>1</v>
      </c>
      <c r="W2" t="s">
        <v>27</v>
      </c>
      <c r="X2" t="s">
        <v>29</v>
      </c>
      <c r="Y2">
        <v>3</v>
      </c>
      <c r="Z2">
        <v>2</v>
      </c>
      <c r="AA2" t="s">
        <v>37</v>
      </c>
      <c r="AB2" t="s">
        <v>38</v>
      </c>
      <c r="AC2">
        <v>0</v>
      </c>
      <c r="AD2">
        <v>1</v>
      </c>
      <c r="AE2" t="s">
        <v>40</v>
      </c>
      <c r="AF2" t="s">
        <v>41</v>
      </c>
      <c r="AG2">
        <v>1</v>
      </c>
      <c r="AH2">
        <v>1</v>
      </c>
      <c r="AI2" t="s">
        <v>37</v>
      </c>
      <c r="AJ2" t="s">
        <v>40</v>
      </c>
      <c r="AK2">
        <v>0</v>
      </c>
      <c r="AL2">
        <v>0</v>
      </c>
      <c r="AM2" t="s">
        <v>41</v>
      </c>
      <c r="AN2" t="s">
        <v>38</v>
      </c>
      <c r="AO2">
        <v>2</v>
      </c>
      <c r="AP2">
        <v>2</v>
      </c>
      <c r="AQ2" t="s">
        <v>41</v>
      </c>
      <c r="AR2" t="s">
        <v>37</v>
      </c>
      <c r="AS2">
        <v>1</v>
      </c>
      <c r="AT2">
        <v>2</v>
      </c>
      <c r="AU2" t="s">
        <v>38</v>
      </c>
      <c r="AV2" t="s">
        <v>40</v>
      </c>
      <c r="AW2">
        <v>3</v>
      </c>
      <c r="AX2">
        <v>1</v>
      </c>
      <c r="AY2" t="s">
        <v>48</v>
      </c>
      <c r="AZ2" t="s">
        <v>49</v>
      </c>
      <c r="BA2">
        <v>0</v>
      </c>
      <c r="BB2">
        <v>2</v>
      </c>
      <c r="BC2" t="s">
        <v>51</v>
      </c>
      <c r="BD2" t="s">
        <v>52</v>
      </c>
      <c r="BE2">
        <v>3</v>
      </c>
      <c r="BF2">
        <v>1</v>
      </c>
      <c r="BG2" t="s">
        <v>48</v>
      </c>
      <c r="BH2" t="s">
        <v>51</v>
      </c>
      <c r="BI2">
        <v>1</v>
      </c>
      <c r="BJ2">
        <v>0</v>
      </c>
      <c r="BK2" t="s">
        <v>52</v>
      </c>
      <c r="BL2" t="s">
        <v>49</v>
      </c>
      <c r="BM2">
        <v>1</v>
      </c>
      <c r="BN2">
        <v>0</v>
      </c>
      <c r="BO2" t="s">
        <v>52</v>
      </c>
      <c r="BP2" t="s">
        <v>48</v>
      </c>
      <c r="BQ2">
        <v>3</v>
      </c>
      <c r="BR2">
        <v>1</v>
      </c>
      <c r="BS2" t="s">
        <v>49</v>
      </c>
      <c r="BT2" t="s">
        <v>51</v>
      </c>
      <c r="BU2">
        <v>1</v>
      </c>
      <c r="BV2">
        <v>2</v>
      </c>
      <c r="BW2" t="s">
        <v>59</v>
      </c>
      <c r="BX2" t="s">
        <v>60</v>
      </c>
      <c r="BY2">
        <v>2</v>
      </c>
      <c r="BZ2">
        <v>1</v>
      </c>
      <c r="CA2" t="s">
        <v>62</v>
      </c>
      <c r="CB2" t="s">
        <v>63</v>
      </c>
      <c r="CC2">
        <v>0</v>
      </c>
      <c r="CD2">
        <v>2</v>
      </c>
      <c r="CE2" t="s">
        <v>59</v>
      </c>
      <c r="CF2" t="s">
        <v>62</v>
      </c>
      <c r="CG2">
        <v>2</v>
      </c>
      <c r="CH2">
        <v>2</v>
      </c>
      <c r="CI2" t="s">
        <v>63</v>
      </c>
      <c r="CJ2" t="s">
        <v>60</v>
      </c>
      <c r="CK2">
        <v>1</v>
      </c>
      <c r="CL2">
        <v>2</v>
      </c>
      <c r="CM2" t="s">
        <v>63</v>
      </c>
      <c r="CN2" t="s">
        <v>59</v>
      </c>
      <c r="CO2">
        <v>0</v>
      </c>
      <c r="CP2">
        <v>1</v>
      </c>
      <c r="CQ2" t="s">
        <v>60</v>
      </c>
      <c r="CR2" t="s">
        <v>62</v>
      </c>
      <c r="CS2">
        <v>0</v>
      </c>
      <c r="CT2">
        <v>2</v>
      </c>
      <c r="CU2" t="s">
        <v>70</v>
      </c>
      <c r="CV2" t="s">
        <v>71</v>
      </c>
      <c r="CW2">
        <v>2</v>
      </c>
      <c r="CX2">
        <v>2</v>
      </c>
      <c r="CY2" t="s">
        <v>73</v>
      </c>
      <c r="CZ2" t="s">
        <v>74</v>
      </c>
      <c r="DA2">
        <v>1</v>
      </c>
      <c r="DB2">
        <v>0</v>
      </c>
      <c r="DC2" t="s">
        <v>70</v>
      </c>
      <c r="DD2" t="s">
        <v>73</v>
      </c>
      <c r="DE2">
        <v>2</v>
      </c>
      <c r="DF2">
        <v>2</v>
      </c>
      <c r="DG2" t="s">
        <v>74</v>
      </c>
      <c r="DH2" t="s">
        <v>71</v>
      </c>
      <c r="DI2">
        <v>3</v>
      </c>
      <c r="DJ2">
        <v>1</v>
      </c>
      <c r="DK2" t="s">
        <v>74</v>
      </c>
      <c r="DL2" t="s">
        <v>70</v>
      </c>
      <c r="DM2">
        <v>3</v>
      </c>
      <c r="DN2">
        <v>2</v>
      </c>
      <c r="DO2" t="s">
        <v>71</v>
      </c>
      <c r="DP2" t="s">
        <v>73</v>
      </c>
      <c r="DQ2">
        <v>2</v>
      </c>
      <c r="DR2">
        <v>2</v>
      </c>
      <c r="DS2" t="s">
        <v>81</v>
      </c>
      <c r="DT2" t="s">
        <v>82</v>
      </c>
      <c r="DU2">
        <v>1</v>
      </c>
      <c r="DV2">
        <v>2</v>
      </c>
      <c r="DW2" t="s">
        <v>84</v>
      </c>
      <c r="DX2" t="s">
        <v>85</v>
      </c>
      <c r="DY2">
        <v>0</v>
      </c>
      <c r="DZ2">
        <v>0</v>
      </c>
      <c r="EA2" t="s">
        <v>81</v>
      </c>
      <c r="EB2" t="s">
        <v>84</v>
      </c>
      <c r="EC2">
        <v>2</v>
      </c>
      <c r="ED2">
        <v>0</v>
      </c>
      <c r="EE2" t="s">
        <v>85</v>
      </c>
      <c r="EF2" t="s">
        <v>82</v>
      </c>
      <c r="EG2">
        <v>2</v>
      </c>
      <c r="EH2">
        <v>1</v>
      </c>
      <c r="EI2" t="s">
        <v>85</v>
      </c>
      <c r="EJ2" t="s">
        <v>81</v>
      </c>
      <c r="EK2">
        <v>2</v>
      </c>
      <c r="EL2">
        <v>2</v>
      </c>
      <c r="EM2" t="s">
        <v>82</v>
      </c>
      <c r="EN2" t="s">
        <v>84</v>
      </c>
      <c r="EO2">
        <v>2</v>
      </c>
      <c r="EP2">
        <v>1</v>
      </c>
      <c r="EQ2" t="s">
        <v>92</v>
      </c>
      <c r="ER2" t="s">
        <v>93</v>
      </c>
      <c r="ES2">
        <v>3</v>
      </c>
      <c r="ET2">
        <v>2</v>
      </c>
      <c r="EU2" t="s">
        <v>95</v>
      </c>
      <c r="EV2" t="s">
        <v>96</v>
      </c>
      <c r="EW2">
        <v>2</v>
      </c>
      <c r="EX2">
        <v>1</v>
      </c>
      <c r="EY2" t="s">
        <v>92</v>
      </c>
      <c r="EZ2" t="s">
        <v>95</v>
      </c>
      <c r="FA2">
        <v>1</v>
      </c>
      <c r="FB2">
        <v>2</v>
      </c>
      <c r="FC2" t="s">
        <v>96</v>
      </c>
      <c r="FD2" t="s">
        <v>93</v>
      </c>
      <c r="FE2">
        <v>1</v>
      </c>
      <c r="FF2">
        <v>1</v>
      </c>
      <c r="FG2" t="s">
        <v>96</v>
      </c>
      <c r="FH2" t="s">
        <v>92</v>
      </c>
      <c r="FI2">
        <v>0</v>
      </c>
      <c r="FJ2">
        <v>2</v>
      </c>
      <c r="FK2" t="s">
        <v>93</v>
      </c>
      <c r="FL2" t="s">
        <v>95</v>
      </c>
      <c r="FM2">
        <v>3</v>
      </c>
      <c r="FN2">
        <v>2</v>
      </c>
      <c r="FO2" t="s">
        <v>103</v>
      </c>
      <c r="FP2" t="s">
        <v>104</v>
      </c>
      <c r="FQ2">
        <v>2</v>
      </c>
      <c r="FR2">
        <v>2</v>
      </c>
      <c r="FS2" t="s">
        <v>106</v>
      </c>
      <c r="FT2" t="s">
        <v>107</v>
      </c>
      <c r="FU2">
        <v>3</v>
      </c>
      <c r="FV2">
        <v>2</v>
      </c>
      <c r="FW2" t="s">
        <v>103</v>
      </c>
      <c r="FX2" t="s">
        <v>106</v>
      </c>
      <c r="FY2">
        <v>2</v>
      </c>
      <c r="FZ2">
        <v>0</v>
      </c>
      <c r="GA2" t="s">
        <v>107</v>
      </c>
      <c r="GB2" t="s">
        <v>104</v>
      </c>
      <c r="GC2">
        <v>2</v>
      </c>
      <c r="GD2">
        <v>2</v>
      </c>
      <c r="GE2" t="s">
        <v>107</v>
      </c>
      <c r="GF2" t="s">
        <v>103</v>
      </c>
      <c r="GG2">
        <v>0</v>
      </c>
      <c r="GH2">
        <v>0</v>
      </c>
      <c r="GI2" t="s">
        <v>104</v>
      </c>
      <c r="GJ2" t="s">
        <v>106</v>
      </c>
      <c r="GK2">
        <v>0</v>
      </c>
      <c r="GL2">
        <v>2</v>
      </c>
      <c r="GM2" t="s">
        <v>114</v>
      </c>
      <c r="GN2" t="s">
        <v>115</v>
      </c>
      <c r="GO2">
        <v>1</v>
      </c>
      <c r="GP2">
        <v>1</v>
      </c>
      <c r="GQ2" t="s">
        <v>117</v>
      </c>
      <c r="GR2" t="s">
        <v>118</v>
      </c>
      <c r="GS2">
        <v>0</v>
      </c>
      <c r="GT2">
        <v>1</v>
      </c>
      <c r="GU2" t="s">
        <v>114</v>
      </c>
      <c r="GV2" t="s">
        <v>117</v>
      </c>
      <c r="GW2">
        <v>1</v>
      </c>
      <c r="GX2">
        <v>0</v>
      </c>
      <c r="GY2" t="s">
        <v>118</v>
      </c>
      <c r="GZ2" t="s">
        <v>115</v>
      </c>
      <c r="HA2">
        <v>1</v>
      </c>
      <c r="HB2">
        <v>0</v>
      </c>
      <c r="HC2" t="s">
        <v>118</v>
      </c>
      <c r="HD2" t="s">
        <v>114</v>
      </c>
      <c r="HE2">
        <v>0</v>
      </c>
      <c r="HF2">
        <v>0</v>
      </c>
      <c r="HG2" t="s">
        <v>115</v>
      </c>
      <c r="HH2" t="s">
        <v>117</v>
      </c>
      <c r="HI2">
        <v>2</v>
      </c>
      <c r="HJ2">
        <v>2</v>
      </c>
      <c r="HK2" t="s">
        <v>125</v>
      </c>
      <c r="HL2" t="s">
        <v>126</v>
      </c>
      <c r="HM2">
        <v>2</v>
      </c>
      <c r="HN2">
        <v>0</v>
      </c>
      <c r="HO2" t="s">
        <v>128</v>
      </c>
      <c r="HP2" t="s">
        <v>129</v>
      </c>
      <c r="HQ2">
        <v>2</v>
      </c>
      <c r="HR2">
        <v>2</v>
      </c>
      <c r="HS2" t="s">
        <v>125</v>
      </c>
      <c r="HT2" t="s">
        <v>128</v>
      </c>
      <c r="HU2">
        <v>2</v>
      </c>
      <c r="HV2">
        <v>2</v>
      </c>
      <c r="HW2" t="s">
        <v>129</v>
      </c>
      <c r="HX2" t="s">
        <v>126</v>
      </c>
      <c r="HY2">
        <v>0</v>
      </c>
      <c r="HZ2">
        <v>0</v>
      </c>
      <c r="IA2" t="s">
        <v>129</v>
      </c>
      <c r="IB2" t="s">
        <v>125</v>
      </c>
      <c r="IC2">
        <v>3</v>
      </c>
      <c r="ID2">
        <v>0</v>
      </c>
      <c r="IE2" t="s">
        <v>126</v>
      </c>
      <c r="IF2" t="s">
        <v>128</v>
      </c>
      <c r="IG2">
        <v>2</v>
      </c>
      <c r="IH2">
        <v>0</v>
      </c>
      <c r="II2" t="s">
        <v>136</v>
      </c>
      <c r="IJ2" t="s">
        <v>137</v>
      </c>
      <c r="IK2">
        <v>0</v>
      </c>
      <c r="IL2">
        <v>1</v>
      </c>
      <c r="IM2" t="s">
        <v>139</v>
      </c>
      <c r="IN2" t="s">
        <v>140</v>
      </c>
      <c r="IO2">
        <v>0</v>
      </c>
      <c r="IP2">
        <v>2</v>
      </c>
      <c r="IQ2" t="s">
        <v>136</v>
      </c>
      <c r="IR2" t="s">
        <v>139</v>
      </c>
      <c r="IS2">
        <v>2</v>
      </c>
      <c r="IT2">
        <v>1</v>
      </c>
      <c r="IU2" t="s">
        <v>140</v>
      </c>
      <c r="IV2" t="s">
        <v>137</v>
      </c>
      <c r="IW2">
        <v>1</v>
      </c>
      <c r="IX2">
        <v>2</v>
      </c>
      <c r="IY2" t="s">
        <v>140</v>
      </c>
      <c r="IZ2" t="s">
        <v>136</v>
      </c>
      <c r="JA2">
        <v>0</v>
      </c>
      <c r="JB2">
        <v>0</v>
      </c>
      <c r="JC2" t="s">
        <v>137</v>
      </c>
      <c r="JD2" t="s">
        <v>139</v>
      </c>
      <c r="JE2">
        <v>0</v>
      </c>
      <c r="JF2">
        <v>1</v>
      </c>
      <c r="JG2" t="s">
        <v>147</v>
      </c>
      <c r="JH2" t="s">
        <v>148</v>
      </c>
      <c r="JI2">
        <v>3</v>
      </c>
      <c r="JJ2">
        <v>1</v>
      </c>
      <c r="JK2" t="s">
        <v>150</v>
      </c>
      <c r="JL2" t="s">
        <v>151</v>
      </c>
      <c r="JM2">
        <v>2</v>
      </c>
      <c r="JN2">
        <v>1</v>
      </c>
      <c r="JO2" t="s">
        <v>147</v>
      </c>
      <c r="JP2" t="s">
        <v>150</v>
      </c>
      <c r="JQ2">
        <v>2</v>
      </c>
      <c r="JR2">
        <v>1</v>
      </c>
      <c r="JS2" t="s">
        <v>151</v>
      </c>
      <c r="JT2" t="s">
        <v>148</v>
      </c>
      <c r="JU2">
        <v>3</v>
      </c>
      <c r="JV2">
        <v>2</v>
      </c>
      <c r="JW2" t="s">
        <v>151</v>
      </c>
      <c r="JX2" t="s">
        <v>147</v>
      </c>
      <c r="JY2">
        <v>1</v>
      </c>
      <c r="JZ2">
        <v>0</v>
      </c>
      <c r="KA2" t="s">
        <v>148</v>
      </c>
      <c r="KB2" t="s">
        <v>150</v>
      </c>
      <c r="KC2">
        <v>1</v>
      </c>
      <c r="KD2">
        <v>2</v>
      </c>
      <c r="KE2">
        <f>IF(OR(ISBLANK(E2),ISBLANK(F2),ISBLANK('01_results_input'!F2),ISBLANK('01_results_input'!G2)),"",IF(AND(E2='01_results_input'!F2,F2='01_results_input'!G2),pts_group_toto+pts_group_exact_bonus,IF(OR(AND(E2&gt;F2,'01_results_input'!F2&gt;'01_results_input'!G2),AND(E2&lt;F2,'01_results_input'!F2&lt;'01_results_input'!G2),AND(E2=F2,'01_results_input'!F2='01_results_input'!G2)),pts_group_toto,0)))</f>
      </c>
      <c r="KF2">
        <f>IF(OR(ISBLANK(I2),ISBLANK(J2),ISBLANK('01_results_input'!F3),ISBLANK('01_results_input'!G3)),"",IF(AND(I2='01_results_input'!F3,J2='01_results_input'!G3),pts_group_toto+pts_group_exact_bonus,IF(OR(AND(I2&gt;J2,'01_results_input'!F3&gt;'01_results_input'!G3),AND(I2&lt;J2,'01_results_input'!F3&lt;'01_results_input'!G3),AND(I2=J2,'01_results_input'!F3='01_results_input'!G3)),pts_group_toto,0)))</f>
      </c>
      <c r="KG2">
        <f>IF(OR(ISBLANK(M2),ISBLANK(N2),ISBLANK('01_results_input'!F4),ISBLANK('01_results_input'!G4)),"",IF(AND(M2='01_results_input'!F4,N2='01_results_input'!G4),pts_group_toto+pts_group_exact_bonus,IF(OR(AND(M2&gt;N2,'01_results_input'!F4&gt;'01_results_input'!G4),AND(M2&lt;N2,'01_results_input'!F4&lt;'01_results_input'!G4),AND(M2=N2,'01_results_input'!F4='01_results_input'!G4)),pts_group_toto,0)))</f>
      </c>
      <c r="KH2">
        <f>IF(OR(ISBLANK(Q2),ISBLANK(R2),ISBLANK('01_results_input'!F5),ISBLANK('01_results_input'!G5)),"",IF(AND(Q2='01_results_input'!F5,R2='01_results_input'!G5),pts_group_toto+pts_group_exact_bonus,IF(OR(AND(Q2&gt;R2,'01_results_input'!F5&gt;'01_results_input'!G5),AND(Q2&lt;R2,'01_results_input'!F5&lt;'01_results_input'!G5),AND(Q2=R2,'01_results_input'!F5='01_results_input'!G5)),pts_group_toto,0)))</f>
      </c>
      <c r="KI2">
        <f>IF(OR(ISBLANK(U2),ISBLANK(V2),ISBLANK('01_results_input'!F6),ISBLANK('01_results_input'!G6)),"",IF(AND(U2='01_results_input'!F6,V2='01_results_input'!G6),pts_group_toto+pts_group_exact_bonus,IF(OR(AND(U2&gt;V2,'01_results_input'!F6&gt;'01_results_input'!G6),AND(U2&lt;V2,'01_results_input'!F6&lt;'01_results_input'!G6),AND(U2=V2,'01_results_input'!F6='01_results_input'!G6)),pts_group_toto,0)))</f>
      </c>
      <c r="KJ2">
        <f>IF(OR(ISBLANK(Y2),ISBLANK(Z2),ISBLANK('01_results_input'!F7),ISBLANK('01_results_input'!G7)),"",IF(AND(Y2='01_results_input'!F7,Z2='01_results_input'!G7),pts_group_toto+pts_group_exact_bonus,IF(OR(AND(Y2&gt;Z2,'01_results_input'!F7&gt;'01_results_input'!G7),AND(Y2&lt;Z2,'01_results_input'!F7&lt;'01_results_input'!G7),AND(Y2=Z2,'01_results_input'!F7='01_results_input'!G7)),pts_group_toto,0)))</f>
      </c>
      <c r="KK2">
        <f>IF(OR(ISBLANK(AC2),ISBLANK(AD2),ISBLANK('01_results_input'!F8),ISBLANK('01_results_input'!G8)),"",IF(AND(AC2='01_results_input'!F8,AD2='01_results_input'!G8),pts_group_toto+pts_group_exact_bonus,IF(OR(AND(AC2&gt;AD2,'01_results_input'!F8&gt;'01_results_input'!G8),AND(AC2&lt;AD2,'01_results_input'!F8&lt;'01_results_input'!G8),AND(AC2=AD2,'01_results_input'!F8='01_results_input'!G8)),pts_group_toto,0)))</f>
      </c>
      <c r="KL2">
        <f>IF(OR(ISBLANK(AG2),ISBLANK(AH2),ISBLANK('01_results_input'!F9),ISBLANK('01_results_input'!G9)),"",IF(AND(AG2='01_results_input'!F9,AH2='01_results_input'!G9),pts_group_toto+pts_group_exact_bonus,IF(OR(AND(AG2&gt;AH2,'01_results_input'!F9&gt;'01_results_input'!G9),AND(AG2&lt;AH2,'01_results_input'!F9&lt;'01_results_input'!G9),AND(AG2=AH2,'01_results_input'!F9='01_results_input'!G9)),pts_group_toto,0)))</f>
      </c>
      <c r="KM2">
        <f>IF(OR(ISBLANK(AK2),ISBLANK(AL2),ISBLANK('01_results_input'!F10),ISBLANK('01_results_input'!G10)),"",IF(AND(AK2='01_results_input'!F10,AL2='01_results_input'!G10),pts_group_toto+pts_group_exact_bonus,IF(OR(AND(AK2&gt;AL2,'01_results_input'!F10&gt;'01_results_input'!G10),AND(AK2&lt;AL2,'01_results_input'!F10&lt;'01_results_input'!G10),AND(AK2=AL2,'01_results_input'!F10='01_results_input'!G10)),pts_group_toto,0)))</f>
      </c>
      <c r="KN2">
        <f>IF(OR(ISBLANK(AO2),ISBLANK(AP2),ISBLANK('01_results_input'!F11),ISBLANK('01_results_input'!G11)),"",IF(AND(AO2='01_results_input'!F11,AP2='01_results_input'!G11),pts_group_toto+pts_group_exact_bonus,IF(OR(AND(AO2&gt;AP2,'01_results_input'!F11&gt;'01_results_input'!G11),AND(AO2&lt;AP2,'01_results_input'!F11&lt;'01_results_input'!G11),AND(AO2=AP2,'01_results_input'!F11='01_results_input'!G11)),pts_group_toto,0)))</f>
      </c>
      <c r="KO2">
        <f>IF(OR(ISBLANK(AS2),ISBLANK(AT2),ISBLANK('01_results_input'!F12),ISBLANK('01_results_input'!G12)),"",IF(AND(AS2='01_results_input'!F12,AT2='01_results_input'!G12),pts_group_toto+pts_group_exact_bonus,IF(OR(AND(AS2&gt;AT2,'01_results_input'!F12&gt;'01_results_input'!G12),AND(AS2&lt;AT2,'01_results_input'!F12&lt;'01_results_input'!G12),AND(AS2=AT2,'01_results_input'!F12='01_results_input'!G12)),pts_group_toto,0)))</f>
      </c>
      <c r="KP2">
        <f>IF(OR(ISBLANK(AW2),ISBLANK(AX2),ISBLANK('01_results_input'!F13),ISBLANK('01_results_input'!G13)),"",IF(AND(AW2='01_results_input'!F13,AX2='01_results_input'!G13),pts_group_toto+pts_group_exact_bonus,IF(OR(AND(AW2&gt;AX2,'01_results_input'!F13&gt;'01_results_input'!G13),AND(AW2&lt;AX2,'01_results_input'!F13&lt;'01_results_input'!G13),AND(AW2=AX2,'01_results_input'!F13='01_results_input'!G13)),pts_group_toto,0)))</f>
      </c>
      <c r="KQ2">
        <f>IF(OR(ISBLANK(BA2),ISBLANK(BB2),ISBLANK('01_results_input'!F14),ISBLANK('01_results_input'!G14)),"",IF(AND(BA2='01_results_input'!F14,BB2='01_results_input'!G14),pts_group_toto+pts_group_exact_bonus,IF(OR(AND(BA2&gt;BB2,'01_results_input'!F14&gt;'01_results_input'!G14),AND(BA2&lt;BB2,'01_results_input'!F14&lt;'01_results_input'!G14),AND(BA2=BB2,'01_results_input'!F14='01_results_input'!G14)),pts_group_toto,0)))</f>
      </c>
      <c r="KR2">
        <f>IF(OR(ISBLANK(BE2),ISBLANK(BF2),ISBLANK('01_results_input'!F15),ISBLANK('01_results_input'!G15)),"",IF(AND(BE2='01_results_input'!F15,BF2='01_results_input'!G15),pts_group_toto+pts_group_exact_bonus,IF(OR(AND(BE2&gt;BF2,'01_results_input'!F15&gt;'01_results_input'!G15),AND(BE2&lt;BF2,'01_results_input'!F15&lt;'01_results_input'!G15),AND(BE2=BF2,'01_results_input'!F15='01_results_input'!G15)),pts_group_toto,0)))</f>
      </c>
      <c r="KS2">
        <f>IF(OR(ISBLANK(BI2),ISBLANK(BJ2),ISBLANK('01_results_input'!F16),ISBLANK('01_results_input'!G16)),"",IF(AND(BI2='01_results_input'!F16,BJ2='01_results_input'!G16),pts_group_toto+pts_group_exact_bonus,IF(OR(AND(BI2&gt;BJ2,'01_results_input'!F16&gt;'01_results_input'!G16),AND(BI2&lt;BJ2,'01_results_input'!F16&lt;'01_results_input'!G16),AND(BI2=BJ2,'01_results_input'!F16='01_results_input'!G16)),pts_group_toto,0)))</f>
      </c>
      <c r="KT2">
        <f>IF(OR(ISBLANK(BM2),ISBLANK(BN2),ISBLANK('01_results_input'!F17),ISBLANK('01_results_input'!G17)),"",IF(AND(BM2='01_results_input'!F17,BN2='01_results_input'!G17),pts_group_toto+pts_group_exact_bonus,IF(OR(AND(BM2&gt;BN2,'01_results_input'!F17&gt;'01_results_input'!G17),AND(BM2&lt;BN2,'01_results_input'!F17&lt;'01_results_input'!G17),AND(BM2=BN2,'01_results_input'!F17='01_results_input'!G17)),pts_group_toto,0)))</f>
      </c>
      <c r="KU2">
        <f>IF(OR(ISBLANK(BQ2),ISBLANK(BR2),ISBLANK('01_results_input'!F18),ISBLANK('01_results_input'!G18)),"",IF(AND(BQ2='01_results_input'!F18,BR2='01_results_input'!G18),pts_group_toto+pts_group_exact_bonus,IF(OR(AND(BQ2&gt;BR2,'01_results_input'!F18&gt;'01_results_input'!G18),AND(BQ2&lt;BR2,'01_results_input'!F18&lt;'01_results_input'!G18),AND(BQ2=BR2,'01_results_input'!F18='01_results_input'!G18)),pts_group_toto,0)))</f>
      </c>
      <c r="KV2">
        <f>IF(OR(ISBLANK(BU2),ISBLANK(BV2),ISBLANK('01_results_input'!F19),ISBLANK('01_results_input'!G19)),"",IF(AND(BU2='01_results_input'!F19,BV2='01_results_input'!G19),pts_group_toto+pts_group_exact_bonus,IF(OR(AND(BU2&gt;BV2,'01_results_input'!F19&gt;'01_results_input'!G19),AND(BU2&lt;BV2,'01_results_input'!F19&lt;'01_results_input'!G19),AND(BU2=BV2,'01_results_input'!F19='01_results_input'!G19)),pts_group_toto,0)))</f>
      </c>
      <c r="KW2">
        <f>IF(OR(ISBLANK(BY2),ISBLANK(BZ2),ISBLANK('01_results_input'!F20),ISBLANK('01_results_input'!G20)),"",IF(AND(BY2='01_results_input'!F20,BZ2='01_results_input'!G20),pts_group_toto+pts_group_exact_bonus,IF(OR(AND(BY2&gt;BZ2,'01_results_input'!F20&gt;'01_results_input'!G20),AND(BY2&lt;BZ2,'01_results_input'!F20&lt;'01_results_input'!G20),AND(BY2=BZ2,'01_results_input'!F20='01_results_input'!G20)),pts_group_toto,0)))</f>
      </c>
      <c r="KX2">
        <f>IF(OR(ISBLANK(CC2),ISBLANK(CD2),ISBLANK('01_results_input'!F21),ISBLANK('01_results_input'!G21)),"",IF(AND(CC2='01_results_input'!F21,CD2='01_results_input'!G21),pts_group_toto+pts_group_exact_bonus,IF(OR(AND(CC2&gt;CD2,'01_results_input'!F21&gt;'01_results_input'!G21),AND(CC2&lt;CD2,'01_results_input'!F21&lt;'01_results_input'!G21),AND(CC2=CD2,'01_results_input'!F21='01_results_input'!G21)),pts_group_toto,0)))</f>
      </c>
      <c r="KY2">
        <f>IF(OR(ISBLANK(CG2),ISBLANK(CH2),ISBLANK('01_results_input'!F22),ISBLANK('01_results_input'!G22)),"",IF(AND(CG2='01_results_input'!F22,CH2='01_results_input'!G22),pts_group_toto+pts_group_exact_bonus,IF(OR(AND(CG2&gt;CH2,'01_results_input'!F22&gt;'01_results_input'!G22),AND(CG2&lt;CH2,'01_results_input'!F22&lt;'01_results_input'!G22),AND(CG2=CH2,'01_results_input'!F22='01_results_input'!G22)),pts_group_toto,0)))</f>
      </c>
      <c r="KZ2">
        <f>IF(OR(ISBLANK(CK2),ISBLANK(CL2),ISBLANK('01_results_input'!F23),ISBLANK('01_results_input'!G23)),"",IF(AND(CK2='01_results_input'!F23,CL2='01_results_input'!G23),pts_group_toto+pts_group_exact_bonus,IF(OR(AND(CK2&gt;CL2,'01_results_input'!F23&gt;'01_results_input'!G23),AND(CK2&lt;CL2,'01_results_input'!F23&lt;'01_results_input'!G23),AND(CK2=CL2,'01_results_input'!F23='01_results_input'!G23)),pts_group_toto,0)))</f>
      </c>
      <c r="LA2">
        <f>IF(OR(ISBLANK(CO2),ISBLANK(CP2),ISBLANK('01_results_input'!F24),ISBLANK('01_results_input'!G24)),"",IF(AND(CO2='01_results_input'!F24,CP2='01_results_input'!G24),pts_group_toto+pts_group_exact_bonus,IF(OR(AND(CO2&gt;CP2,'01_results_input'!F24&gt;'01_results_input'!G24),AND(CO2&lt;CP2,'01_results_input'!F24&lt;'01_results_input'!G24),AND(CO2=CP2,'01_results_input'!F24='01_results_input'!G24)),pts_group_toto,0)))</f>
      </c>
      <c r="LB2">
        <f>IF(OR(ISBLANK(CS2),ISBLANK(CT2),ISBLANK('01_results_input'!F25),ISBLANK('01_results_input'!G25)),"",IF(AND(CS2='01_results_input'!F25,CT2='01_results_input'!G25),pts_group_toto+pts_group_exact_bonus,IF(OR(AND(CS2&gt;CT2,'01_results_input'!F25&gt;'01_results_input'!G25),AND(CS2&lt;CT2,'01_results_input'!F25&lt;'01_results_input'!G25),AND(CS2=CT2,'01_results_input'!F25='01_results_input'!G25)),pts_group_toto,0)))</f>
      </c>
      <c r="LC2">
        <f>IF(OR(ISBLANK(CW2),ISBLANK(CX2),ISBLANK('01_results_input'!F26),ISBLANK('01_results_input'!G26)),"",IF(AND(CW2='01_results_input'!F26,CX2='01_results_input'!G26),pts_group_toto+pts_group_exact_bonus,IF(OR(AND(CW2&gt;CX2,'01_results_input'!F26&gt;'01_results_input'!G26),AND(CW2&lt;CX2,'01_results_input'!F26&lt;'01_results_input'!G26),AND(CW2=CX2,'01_results_input'!F26='01_results_input'!G26)),pts_group_toto,0)))</f>
      </c>
      <c r="LD2">
        <f>IF(OR(ISBLANK(DA2),ISBLANK(DB2),ISBLANK('01_results_input'!F27),ISBLANK('01_results_input'!G27)),"",IF(AND(DA2='01_results_input'!F27,DB2='01_results_input'!G27),pts_group_toto+pts_group_exact_bonus,IF(OR(AND(DA2&gt;DB2,'01_results_input'!F27&gt;'01_results_input'!G27),AND(DA2&lt;DB2,'01_results_input'!F27&lt;'01_results_input'!G27),AND(DA2=DB2,'01_results_input'!F27='01_results_input'!G27)),pts_group_toto,0)))</f>
      </c>
      <c r="LE2">
        <f>IF(OR(ISBLANK(DE2),ISBLANK(DF2),ISBLANK('01_results_input'!F28),ISBLANK('01_results_input'!G28)),"",IF(AND(DE2='01_results_input'!F28,DF2='01_results_input'!G28),pts_group_toto+pts_group_exact_bonus,IF(OR(AND(DE2&gt;DF2,'01_results_input'!F28&gt;'01_results_input'!G28),AND(DE2&lt;DF2,'01_results_input'!F28&lt;'01_results_input'!G28),AND(DE2=DF2,'01_results_input'!F28='01_results_input'!G28)),pts_group_toto,0)))</f>
      </c>
      <c r="LF2">
        <f>IF(OR(ISBLANK(DI2),ISBLANK(DJ2),ISBLANK('01_results_input'!F29),ISBLANK('01_results_input'!G29)),"",IF(AND(DI2='01_results_input'!F29,DJ2='01_results_input'!G29),pts_group_toto+pts_group_exact_bonus,IF(OR(AND(DI2&gt;DJ2,'01_results_input'!F29&gt;'01_results_input'!G29),AND(DI2&lt;DJ2,'01_results_input'!F29&lt;'01_results_input'!G29),AND(DI2=DJ2,'01_results_input'!F29='01_results_input'!G29)),pts_group_toto,0)))</f>
      </c>
      <c r="LG2">
        <f>IF(OR(ISBLANK(DM2),ISBLANK(DN2),ISBLANK('01_results_input'!F30),ISBLANK('01_results_input'!G30)),"",IF(AND(DM2='01_results_input'!F30,DN2='01_results_input'!G30),pts_group_toto+pts_group_exact_bonus,IF(OR(AND(DM2&gt;DN2,'01_results_input'!F30&gt;'01_results_input'!G30),AND(DM2&lt;DN2,'01_results_input'!F30&lt;'01_results_input'!G30),AND(DM2=DN2,'01_results_input'!F30='01_results_input'!G30)),pts_group_toto,0)))</f>
      </c>
      <c r="LH2">
        <f>IF(OR(ISBLANK(DQ2),ISBLANK(DR2),ISBLANK('01_results_input'!F31),ISBLANK('01_results_input'!G31)),"",IF(AND(DQ2='01_results_input'!F31,DR2='01_results_input'!G31),pts_group_toto+pts_group_exact_bonus,IF(OR(AND(DQ2&gt;DR2,'01_results_input'!F31&gt;'01_results_input'!G31),AND(DQ2&lt;DR2,'01_results_input'!F31&lt;'01_results_input'!G31),AND(DQ2=DR2,'01_results_input'!F31='01_results_input'!G31)),pts_group_toto,0)))</f>
      </c>
      <c r="LI2">
        <f>IF(OR(ISBLANK(DU2),ISBLANK(DV2),ISBLANK('01_results_input'!F32),ISBLANK('01_results_input'!G32)),"",IF(AND(DU2='01_results_input'!F32,DV2='01_results_input'!G32),pts_group_toto+pts_group_exact_bonus,IF(OR(AND(DU2&gt;DV2,'01_results_input'!F32&gt;'01_results_input'!G32),AND(DU2&lt;DV2,'01_results_input'!F32&lt;'01_results_input'!G32),AND(DU2=DV2,'01_results_input'!F32='01_results_input'!G32)),pts_group_toto,0)))</f>
      </c>
      <c r="LJ2">
        <f>IF(OR(ISBLANK(DY2),ISBLANK(DZ2),ISBLANK('01_results_input'!F33),ISBLANK('01_results_input'!G33)),"",IF(AND(DY2='01_results_input'!F33,DZ2='01_results_input'!G33),pts_group_toto+pts_group_exact_bonus,IF(OR(AND(DY2&gt;DZ2,'01_results_input'!F33&gt;'01_results_input'!G33),AND(DY2&lt;DZ2,'01_results_input'!F33&lt;'01_results_input'!G33),AND(DY2=DZ2,'01_results_input'!F33='01_results_input'!G33)),pts_group_toto,0)))</f>
      </c>
      <c r="LK2">
        <f>IF(OR(ISBLANK(EC2),ISBLANK(ED2),ISBLANK('01_results_input'!F34),ISBLANK('01_results_input'!G34)),"",IF(AND(EC2='01_results_input'!F34,ED2='01_results_input'!G34),pts_group_toto+pts_group_exact_bonus,IF(OR(AND(EC2&gt;ED2,'01_results_input'!F34&gt;'01_results_input'!G34),AND(EC2&lt;ED2,'01_results_input'!F34&lt;'01_results_input'!G34),AND(EC2=ED2,'01_results_input'!F34='01_results_input'!G34)),pts_group_toto,0)))</f>
      </c>
      <c r="LL2">
        <f>IF(OR(ISBLANK(EG2),ISBLANK(EH2),ISBLANK('01_results_input'!F35),ISBLANK('01_results_input'!G35)),"",IF(AND(EG2='01_results_input'!F35,EH2='01_results_input'!G35),pts_group_toto+pts_group_exact_bonus,IF(OR(AND(EG2&gt;EH2,'01_results_input'!F35&gt;'01_results_input'!G35),AND(EG2&lt;EH2,'01_results_input'!F35&lt;'01_results_input'!G35),AND(EG2=EH2,'01_results_input'!F35='01_results_input'!G35)),pts_group_toto,0)))</f>
      </c>
      <c r="LM2">
        <f>IF(OR(ISBLANK(EK2),ISBLANK(EL2),ISBLANK('01_results_input'!F36),ISBLANK('01_results_input'!G36)),"",IF(AND(EK2='01_results_input'!F36,EL2='01_results_input'!G36),pts_group_toto+pts_group_exact_bonus,IF(OR(AND(EK2&gt;EL2,'01_results_input'!F36&gt;'01_results_input'!G36),AND(EK2&lt;EL2,'01_results_input'!F36&lt;'01_results_input'!G36),AND(EK2=EL2,'01_results_input'!F36='01_results_input'!G36)),pts_group_toto,0)))</f>
      </c>
      <c r="LN2">
        <f>IF(OR(ISBLANK(EO2),ISBLANK(EP2),ISBLANK('01_results_input'!F37),ISBLANK('01_results_input'!G37)),"",IF(AND(EO2='01_results_input'!F37,EP2='01_results_input'!G37),pts_group_toto+pts_group_exact_bonus,IF(OR(AND(EO2&gt;EP2,'01_results_input'!F37&gt;'01_results_input'!G37),AND(EO2&lt;EP2,'01_results_input'!F37&lt;'01_results_input'!G37),AND(EO2=EP2,'01_results_input'!F37='01_results_input'!G37)),pts_group_toto,0)))</f>
      </c>
      <c r="LO2">
        <f>IF(OR(ISBLANK(ES2),ISBLANK(ET2),ISBLANK('01_results_input'!F38),ISBLANK('01_results_input'!G38)),"",IF(AND(ES2='01_results_input'!F38,ET2='01_results_input'!G38),pts_group_toto+pts_group_exact_bonus,IF(OR(AND(ES2&gt;ET2,'01_results_input'!F38&gt;'01_results_input'!G38),AND(ES2&lt;ET2,'01_results_input'!F38&lt;'01_results_input'!G38),AND(ES2=ET2,'01_results_input'!F38='01_results_input'!G38)),pts_group_toto,0)))</f>
      </c>
      <c r="LP2">
        <f>IF(OR(ISBLANK(EW2),ISBLANK(EX2),ISBLANK('01_results_input'!F39),ISBLANK('01_results_input'!G39)),"",IF(AND(EW2='01_results_input'!F39,EX2='01_results_input'!G39),pts_group_toto+pts_group_exact_bonus,IF(OR(AND(EW2&gt;EX2,'01_results_input'!F39&gt;'01_results_input'!G39),AND(EW2&lt;EX2,'01_results_input'!F39&lt;'01_results_input'!G39),AND(EW2=EX2,'01_results_input'!F39='01_results_input'!G39)),pts_group_toto,0)))</f>
      </c>
      <c r="LQ2">
        <f>IF(OR(ISBLANK(FA2),ISBLANK(FB2),ISBLANK('01_results_input'!F40),ISBLANK('01_results_input'!G40)),"",IF(AND(FA2='01_results_input'!F40,FB2='01_results_input'!G40),pts_group_toto+pts_group_exact_bonus,IF(OR(AND(FA2&gt;FB2,'01_results_input'!F40&gt;'01_results_input'!G40),AND(FA2&lt;FB2,'01_results_input'!F40&lt;'01_results_input'!G40),AND(FA2=FB2,'01_results_input'!F40='01_results_input'!G40)),pts_group_toto,0)))</f>
      </c>
      <c r="LR2">
        <f>IF(OR(ISBLANK(FE2),ISBLANK(FF2),ISBLANK('01_results_input'!F41),ISBLANK('01_results_input'!G41)),"",IF(AND(FE2='01_results_input'!F41,FF2='01_results_input'!G41),pts_group_toto+pts_group_exact_bonus,IF(OR(AND(FE2&gt;FF2,'01_results_input'!F41&gt;'01_results_input'!G41),AND(FE2&lt;FF2,'01_results_input'!F41&lt;'01_results_input'!G41),AND(FE2=FF2,'01_results_input'!F41='01_results_input'!G41)),pts_group_toto,0)))</f>
      </c>
      <c r="LS2">
        <f>IF(OR(ISBLANK(FI2),ISBLANK(FJ2),ISBLANK('01_results_input'!F42),ISBLANK('01_results_input'!G42)),"",IF(AND(FI2='01_results_input'!F42,FJ2='01_results_input'!G42),pts_group_toto+pts_group_exact_bonus,IF(OR(AND(FI2&gt;FJ2,'01_results_input'!F42&gt;'01_results_input'!G42),AND(FI2&lt;FJ2,'01_results_input'!F42&lt;'01_results_input'!G42),AND(FI2=FJ2,'01_results_input'!F42='01_results_input'!G42)),pts_group_toto,0)))</f>
      </c>
      <c r="LT2">
        <f>IF(OR(ISBLANK(FM2),ISBLANK(FN2),ISBLANK('01_results_input'!F43),ISBLANK('01_results_input'!G43)),"",IF(AND(FM2='01_results_input'!F43,FN2='01_results_input'!G43),pts_group_toto+pts_group_exact_bonus,IF(OR(AND(FM2&gt;FN2,'01_results_input'!F43&gt;'01_results_input'!G43),AND(FM2&lt;FN2,'01_results_input'!F43&lt;'01_results_input'!G43),AND(FM2=FN2,'01_results_input'!F43='01_results_input'!G43)),pts_group_toto,0)))</f>
      </c>
      <c r="LU2">
        <f>IF(OR(ISBLANK(FQ2),ISBLANK(FR2),ISBLANK('01_results_input'!F44),ISBLANK('01_results_input'!G44)),"",IF(AND(FQ2='01_results_input'!F44,FR2='01_results_input'!G44),pts_group_toto+pts_group_exact_bonus,IF(OR(AND(FQ2&gt;FR2,'01_results_input'!F44&gt;'01_results_input'!G44),AND(FQ2&lt;FR2,'01_results_input'!F44&lt;'01_results_input'!G44),AND(FQ2=FR2,'01_results_input'!F44='01_results_input'!G44)),pts_group_toto,0)))</f>
      </c>
      <c r="LV2">
        <f>IF(OR(ISBLANK(FU2),ISBLANK(FV2),ISBLANK('01_results_input'!F45),ISBLANK('01_results_input'!G45)),"",IF(AND(FU2='01_results_input'!F45,FV2='01_results_input'!G45),pts_group_toto+pts_group_exact_bonus,IF(OR(AND(FU2&gt;FV2,'01_results_input'!F45&gt;'01_results_input'!G45),AND(FU2&lt;FV2,'01_results_input'!F45&lt;'01_results_input'!G45),AND(FU2=FV2,'01_results_input'!F45='01_results_input'!G45)),pts_group_toto,0)))</f>
      </c>
      <c r="LW2">
        <f>IF(OR(ISBLANK(FY2),ISBLANK(FZ2),ISBLANK('01_results_input'!F46),ISBLANK('01_results_input'!G46)),"",IF(AND(FY2='01_results_input'!F46,FZ2='01_results_input'!G46),pts_group_toto+pts_group_exact_bonus,IF(OR(AND(FY2&gt;FZ2,'01_results_input'!F46&gt;'01_results_input'!G46),AND(FY2&lt;FZ2,'01_results_input'!F46&lt;'01_results_input'!G46),AND(FY2=FZ2,'01_results_input'!F46='01_results_input'!G46)),pts_group_toto,0)))</f>
      </c>
      <c r="LX2">
        <f>IF(OR(ISBLANK(GC2),ISBLANK(GD2),ISBLANK('01_results_input'!F47),ISBLANK('01_results_input'!G47)),"",IF(AND(GC2='01_results_input'!F47,GD2='01_results_input'!G47),pts_group_toto+pts_group_exact_bonus,IF(OR(AND(GC2&gt;GD2,'01_results_input'!F47&gt;'01_results_input'!G47),AND(GC2&lt;GD2,'01_results_input'!F47&lt;'01_results_input'!G47),AND(GC2=GD2,'01_results_input'!F47='01_results_input'!G47)),pts_group_toto,0)))</f>
      </c>
      <c r="LY2">
        <f>IF(OR(ISBLANK(GG2),ISBLANK(GH2),ISBLANK('01_results_input'!F48),ISBLANK('01_results_input'!G48)),"",IF(AND(GG2='01_results_input'!F48,GH2='01_results_input'!G48),pts_group_toto+pts_group_exact_bonus,IF(OR(AND(GG2&gt;GH2,'01_results_input'!F48&gt;'01_results_input'!G48),AND(GG2&lt;GH2,'01_results_input'!F48&lt;'01_results_input'!G48),AND(GG2=GH2,'01_results_input'!F48='01_results_input'!G48)),pts_group_toto,0)))</f>
      </c>
      <c r="LZ2">
        <f>IF(OR(ISBLANK(GK2),ISBLANK(GL2),ISBLANK('01_results_input'!F49),ISBLANK('01_results_input'!G49)),"",IF(AND(GK2='01_results_input'!F49,GL2='01_results_input'!G49),pts_group_toto+pts_group_exact_bonus,IF(OR(AND(GK2&gt;GL2,'01_results_input'!F49&gt;'01_results_input'!G49),AND(GK2&lt;GL2,'01_results_input'!F49&lt;'01_results_input'!G49),AND(GK2=GL2,'01_results_input'!F49='01_results_input'!G49)),pts_group_toto,0)))</f>
      </c>
      <c r="MA2">
        <f>IF(OR(ISBLANK(GO2),ISBLANK(GP2),ISBLANK('01_results_input'!F50),ISBLANK('01_results_input'!G50)),"",IF(AND(GO2='01_results_input'!F50,GP2='01_results_input'!G50),pts_group_toto+pts_group_exact_bonus,IF(OR(AND(GO2&gt;GP2,'01_results_input'!F50&gt;'01_results_input'!G50),AND(GO2&lt;GP2,'01_results_input'!F50&lt;'01_results_input'!G50),AND(GO2=GP2,'01_results_input'!F50='01_results_input'!G50)),pts_group_toto,0)))</f>
      </c>
      <c r="MB2">
        <f>IF(OR(ISBLANK(GS2),ISBLANK(GT2),ISBLANK('01_results_input'!F51),ISBLANK('01_results_input'!G51)),"",IF(AND(GS2='01_results_input'!F51,GT2='01_results_input'!G51),pts_group_toto+pts_group_exact_bonus,IF(OR(AND(GS2&gt;GT2,'01_results_input'!F51&gt;'01_results_input'!G51),AND(GS2&lt;GT2,'01_results_input'!F51&lt;'01_results_input'!G51),AND(GS2=GT2,'01_results_input'!F51='01_results_input'!G51)),pts_group_toto,0)))</f>
      </c>
      <c r="MC2">
        <f>IF(OR(ISBLANK(GW2),ISBLANK(GX2),ISBLANK('01_results_input'!F52),ISBLANK('01_results_input'!G52)),"",IF(AND(GW2='01_results_input'!F52,GX2='01_results_input'!G52),pts_group_toto+pts_group_exact_bonus,IF(OR(AND(GW2&gt;GX2,'01_results_input'!F52&gt;'01_results_input'!G52),AND(GW2&lt;GX2,'01_results_input'!F52&lt;'01_results_input'!G52),AND(GW2=GX2,'01_results_input'!F52='01_results_input'!G52)),pts_group_toto,0)))</f>
      </c>
      <c r="MD2">
        <f>IF(OR(ISBLANK(HA2),ISBLANK(HB2),ISBLANK('01_results_input'!F53),ISBLANK('01_results_input'!G53)),"",IF(AND(HA2='01_results_input'!F53,HB2='01_results_input'!G53),pts_group_toto+pts_group_exact_bonus,IF(OR(AND(HA2&gt;HB2,'01_results_input'!F53&gt;'01_results_input'!G53),AND(HA2&lt;HB2,'01_results_input'!F53&lt;'01_results_input'!G53),AND(HA2=HB2,'01_results_input'!F53='01_results_input'!G53)),pts_group_toto,0)))</f>
      </c>
      <c r="ME2">
        <f>IF(OR(ISBLANK(HE2),ISBLANK(HF2),ISBLANK('01_results_input'!F54),ISBLANK('01_results_input'!G54)),"",IF(AND(HE2='01_results_input'!F54,HF2='01_results_input'!G54),pts_group_toto+pts_group_exact_bonus,IF(OR(AND(HE2&gt;HF2,'01_results_input'!F54&gt;'01_results_input'!G54),AND(HE2&lt;HF2,'01_results_input'!F54&lt;'01_results_input'!G54),AND(HE2=HF2,'01_results_input'!F54='01_results_input'!G54)),pts_group_toto,0)))</f>
      </c>
      <c r="MF2">
        <f>IF(OR(ISBLANK(HI2),ISBLANK(HJ2),ISBLANK('01_results_input'!F55),ISBLANK('01_results_input'!G55)),"",IF(AND(HI2='01_results_input'!F55,HJ2='01_results_input'!G55),pts_group_toto+pts_group_exact_bonus,IF(OR(AND(HI2&gt;HJ2,'01_results_input'!F55&gt;'01_results_input'!G55),AND(HI2&lt;HJ2,'01_results_input'!F55&lt;'01_results_input'!G55),AND(HI2=HJ2,'01_results_input'!F55='01_results_input'!G55)),pts_group_toto,0)))</f>
      </c>
      <c r="MG2">
        <f>IF(OR(ISBLANK(HM2),ISBLANK(HN2),ISBLANK('01_results_input'!F56),ISBLANK('01_results_input'!G56)),"",IF(AND(HM2='01_results_input'!F56,HN2='01_results_input'!G56),pts_group_toto+pts_group_exact_bonus,IF(OR(AND(HM2&gt;HN2,'01_results_input'!F56&gt;'01_results_input'!G56),AND(HM2&lt;HN2,'01_results_input'!F56&lt;'01_results_input'!G56),AND(HM2=HN2,'01_results_input'!F56='01_results_input'!G56)),pts_group_toto,0)))</f>
      </c>
      <c r="MH2">
        <f>IF(OR(ISBLANK(HQ2),ISBLANK(HR2),ISBLANK('01_results_input'!F57),ISBLANK('01_results_input'!G57)),"",IF(AND(HQ2='01_results_input'!F57,HR2='01_results_input'!G57),pts_group_toto+pts_group_exact_bonus,IF(OR(AND(HQ2&gt;HR2,'01_results_input'!F57&gt;'01_results_input'!G57),AND(HQ2&lt;HR2,'01_results_input'!F57&lt;'01_results_input'!G57),AND(HQ2=HR2,'01_results_input'!F57='01_results_input'!G57)),pts_group_toto,0)))</f>
      </c>
      <c r="MI2">
        <f>IF(OR(ISBLANK(HU2),ISBLANK(HV2),ISBLANK('01_results_input'!F58),ISBLANK('01_results_input'!G58)),"",IF(AND(HU2='01_results_input'!F58,HV2='01_results_input'!G58),pts_group_toto+pts_group_exact_bonus,IF(OR(AND(HU2&gt;HV2,'01_results_input'!F58&gt;'01_results_input'!G58),AND(HU2&lt;HV2,'01_results_input'!F58&lt;'01_results_input'!G58),AND(HU2=HV2,'01_results_input'!F58='01_results_input'!G58)),pts_group_toto,0)))</f>
      </c>
      <c r="MJ2">
        <f>IF(OR(ISBLANK(HY2),ISBLANK(HZ2),ISBLANK('01_results_input'!F59),ISBLANK('01_results_input'!G59)),"",IF(AND(HY2='01_results_input'!F59,HZ2='01_results_input'!G59),pts_group_toto+pts_group_exact_bonus,IF(OR(AND(HY2&gt;HZ2,'01_results_input'!F59&gt;'01_results_input'!G59),AND(HY2&lt;HZ2,'01_results_input'!F59&lt;'01_results_input'!G59),AND(HY2=HZ2,'01_results_input'!F59='01_results_input'!G59)),pts_group_toto,0)))</f>
      </c>
      <c r="MK2">
        <f>IF(OR(ISBLANK(IC2),ISBLANK(ID2),ISBLANK('01_results_input'!F60),ISBLANK('01_results_input'!G60)),"",IF(AND(IC2='01_results_input'!F60,ID2='01_results_input'!G60),pts_group_toto+pts_group_exact_bonus,IF(OR(AND(IC2&gt;ID2,'01_results_input'!F60&gt;'01_results_input'!G60),AND(IC2&lt;ID2,'01_results_input'!F60&lt;'01_results_input'!G60),AND(IC2=ID2,'01_results_input'!F60='01_results_input'!G60)),pts_group_toto,0)))</f>
      </c>
      <c r="ML2">
        <f>IF(OR(ISBLANK(IG2),ISBLANK(IH2),ISBLANK('01_results_input'!F61),ISBLANK('01_results_input'!G61)),"",IF(AND(IG2='01_results_input'!F61,IH2='01_results_input'!G61),pts_group_toto+pts_group_exact_bonus,IF(OR(AND(IG2&gt;IH2,'01_results_input'!F61&gt;'01_results_input'!G61),AND(IG2&lt;IH2,'01_results_input'!F61&lt;'01_results_input'!G61),AND(IG2=IH2,'01_results_input'!F61='01_results_input'!G61)),pts_group_toto,0)))</f>
      </c>
      <c r="MM2">
        <f>IF(OR(ISBLANK(IK2),ISBLANK(IL2),ISBLANK('01_results_input'!F62),ISBLANK('01_results_input'!G62)),"",IF(AND(IK2='01_results_input'!F62,IL2='01_results_input'!G62),pts_group_toto+pts_group_exact_bonus,IF(OR(AND(IK2&gt;IL2,'01_results_input'!F62&gt;'01_results_input'!G62),AND(IK2&lt;IL2,'01_results_input'!F62&lt;'01_results_input'!G62),AND(IK2=IL2,'01_results_input'!F62='01_results_input'!G62)),pts_group_toto,0)))</f>
      </c>
      <c r="MN2">
        <f>IF(OR(ISBLANK(IO2),ISBLANK(IP2),ISBLANK('01_results_input'!F63),ISBLANK('01_results_input'!G63)),"",IF(AND(IO2='01_results_input'!F63,IP2='01_results_input'!G63),pts_group_toto+pts_group_exact_bonus,IF(OR(AND(IO2&gt;IP2,'01_results_input'!F63&gt;'01_results_input'!G63),AND(IO2&lt;IP2,'01_results_input'!F63&lt;'01_results_input'!G63),AND(IO2=IP2,'01_results_input'!F63='01_results_input'!G63)),pts_group_toto,0)))</f>
      </c>
      <c r="MO2">
        <f>IF(OR(ISBLANK(IS2),ISBLANK(IT2),ISBLANK('01_results_input'!F64),ISBLANK('01_results_input'!G64)),"",IF(AND(IS2='01_results_input'!F64,IT2='01_results_input'!G64),pts_group_toto+pts_group_exact_bonus,IF(OR(AND(IS2&gt;IT2,'01_results_input'!F64&gt;'01_results_input'!G64),AND(IS2&lt;IT2,'01_results_input'!F64&lt;'01_results_input'!G64),AND(IS2=IT2,'01_results_input'!F64='01_results_input'!G64)),pts_group_toto,0)))</f>
      </c>
      <c r="MP2">
        <f>IF(OR(ISBLANK(IW2),ISBLANK(IX2),ISBLANK('01_results_input'!F65),ISBLANK('01_results_input'!G65)),"",IF(AND(IW2='01_results_input'!F65,IX2='01_results_input'!G65),pts_group_toto+pts_group_exact_bonus,IF(OR(AND(IW2&gt;IX2,'01_results_input'!F65&gt;'01_results_input'!G65),AND(IW2&lt;IX2,'01_results_input'!F65&lt;'01_results_input'!G65),AND(IW2=IX2,'01_results_input'!F65='01_results_input'!G65)),pts_group_toto,0)))</f>
      </c>
      <c r="MQ2">
        <f>IF(OR(ISBLANK(JA2),ISBLANK(JB2),ISBLANK('01_results_input'!F66),ISBLANK('01_results_input'!G66)),"",IF(AND(JA2='01_results_input'!F66,JB2='01_results_input'!G66),pts_group_toto+pts_group_exact_bonus,IF(OR(AND(JA2&gt;JB2,'01_results_input'!F66&gt;'01_results_input'!G66),AND(JA2&lt;JB2,'01_results_input'!F66&lt;'01_results_input'!G66),AND(JA2=JB2,'01_results_input'!F66='01_results_input'!G66)),pts_group_toto,0)))</f>
      </c>
      <c r="MR2">
        <f>IF(OR(ISBLANK(JE2),ISBLANK(JF2),ISBLANK('01_results_input'!F67),ISBLANK('01_results_input'!G67)),"",IF(AND(JE2='01_results_input'!F67,JF2='01_results_input'!G67),pts_group_toto+pts_group_exact_bonus,IF(OR(AND(JE2&gt;JF2,'01_results_input'!F67&gt;'01_results_input'!G67),AND(JE2&lt;JF2,'01_results_input'!F67&lt;'01_results_input'!G67),AND(JE2=JF2,'01_results_input'!F67='01_results_input'!G67)),pts_group_toto,0)))</f>
      </c>
      <c r="MS2">
        <f>IF(OR(ISBLANK(JI2),ISBLANK(JJ2),ISBLANK('01_results_input'!F68),ISBLANK('01_results_input'!G68)),"",IF(AND(JI2='01_results_input'!F68,JJ2='01_results_input'!G68),pts_group_toto+pts_group_exact_bonus,IF(OR(AND(JI2&gt;JJ2,'01_results_input'!F68&gt;'01_results_input'!G68),AND(JI2&lt;JJ2,'01_results_input'!F68&lt;'01_results_input'!G68),AND(JI2=JJ2,'01_results_input'!F68='01_results_input'!G68)),pts_group_toto,0)))</f>
      </c>
      <c r="MT2">
        <f>IF(OR(ISBLANK(JM2),ISBLANK(JN2),ISBLANK('01_results_input'!F69),ISBLANK('01_results_input'!G69)),"",IF(AND(JM2='01_results_input'!F69,JN2='01_results_input'!G69),pts_group_toto+pts_group_exact_bonus,IF(OR(AND(JM2&gt;JN2,'01_results_input'!F69&gt;'01_results_input'!G69),AND(JM2&lt;JN2,'01_results_input'!F69&lt;'01_results_input'!G69),AND(JM2=JN2,'01_results_input'!F69='01_results_input'!G69)),pts_group_toto,0)))</f>
      </c>
      <c r="MU2">
        <f>IF(OR(ISBLANK(JQ2),ISBLANK(JR2),ISBLANK('01_results_input'!F70),ISBLANK('01_results_input'!G70)),"",IF(AND(JQ2='01_results_input'!F70,JR2='01_results_input'!G70),pts_group_toto+pts_group_exact_bonus,IF(OR(AND(JQ2&gt;JR2,'01_results_input'!F70&gt;'01_results_input'!G70),AND(JQ2&lt;JR2,'01_results_input'!F70&lt;'01_results_input'!G70),AND(JQ2=JR2,'01_results_input'!F70='01_results_input'!G70)),pts_group_toto,0)))</f>
      </c>
      <c r="MV2">
        <f>IF(OR(ISBLANK(JU2),ISBLANK(JV2),ISBLANK('01_results_input'!F71),ISBLANK('01_results_input'!G71)),"",IF(AND(JU2='01_results_input'!F71,JV2='01_results_input'!G71),pts_group_toto+pts_group_exact_bonus,IF(OR(AND(JU2&gt;JV2,'01_results_input'!F71&gt;'01_results_input'!G71),AND(JU2&lt;JV2,'01_results_input'!F71&lt;'01_results_input'!G71),AND(JU2=JV2,'01_results_input'!F71='01_results_input'!G71)),pts_group_toto,0)))</f>
      </c>
      <c r="MW2">
        <f>IF(OR(ISBLANK(JY2),ISBLANK(JZ2),ISBLANK('01_results_input'!F72),ISBLANK('01_results_input'!G72)),"",IF(AND(JY2='01_results_input'!F72,JZ2='01_results_input'!G72),pts_group_toto+pts_group_exact_bonus,IF(OR(AND(JY2&gt;JZ2,'01_results_input'!F72&gt;'01_results_input'!G72),AND(JY2&lt;JZ2,'01_results_input'!F72&lt;'01_results_input'!G72),AND(JY2=JZ2,'01_results_input'!F72='01_results_input'!G72)),pts_group_toto,0)))</f>
      </c>
      <c r="MX2">
        <f>IF(OR(ISBLANK(KC2),ISBLANK(KD2),ISBLANK('01_results_input'!F73),ISBLANK('01_results_input'!G73)),"",IF(AND(KC2='01_results_input'!F73,KD2='01_results_input'!G73),pts_group_toto+pts_group_exact_bonus,IF(OR(AND(KC2&gt;KD2,'01_results_input'!F73&gt;'01_results_input'!G73),AND(KC2&lt;KD2,'01_results_input'!F73&lt;'01_results_input'!G73),AND(KC2=KD2,'01_results_input'!F73='01_results_input'!G73)),pts_group_toto,0)))</f>
      </c>
      <c r="MY2">
        <f>SUM(KE2:MX2)</f>
      </c>
    </row>
    <row r="3" spans="1:363" x14ac:dyDescent="0.25">
      <c r="A3" t="s">
        <v>556</v>
      </c>
      <c r="B3" t="s">
        <v>557</v>
      </c>
      <c r="C3" t="s">
        <v>26</v>
      </c>
      <c r="D3" t="s">
        <v>27</v>
      </c>
      <c r="E3">
        <v>1</v>
      </c>
      <c r="F3">
        <v>1</v>
      </c>
      <c r="G3" t="s">
        <v>29</v>
      </c>
      <c r="H3" t="s">
        <v>30</v>
      </c>
      <c r="I3">
        <v>0</v>
      </c>
      <c r="J3">
        <v>0</v>
      </c>
      <c r="K3" t="s">
        <v>26</v>
      </c>
      <c r="L3" t="s">
        <v>29</v>
      </c>
      <c r="M3">
        <v>2</v>
      </c>
      <c r="N3">
        <v>0</v>
      </c>
      <c r="O3" t="s">
        <v>30</v>
      </c>
      <c r="P3" t="s">
        <v>27</v>
      </c>
      <c r="Q3">
        <v>1</v>
      </c>
      <c r="R3">
        <v>1</v>
      </c>
      <c r="S3" t="s">
        <v>30</v>
      </c>
      <c r="T3" t="s">
        <v>26</v>
      </c>
      <c r="U3">
        <v>2</v>
      </c>
      <c r="V3">
        <v>1</v>
      </c>
      <c r="W3" t="s">
        <v>27</v>
      </c>
      <c r="X3" t="s">
        <v>29</v>
      </c>
      <c r="Y3">
        <v>1</v>
      </c>
      <c r="Z3">
        <v>2</v>
      </c>
      <c r="AA3" t="s">
        <v>37</v>
      </c>
      <c r="AB3" t="s">
        <v>38</v>
      </c>
      <c r="AC3">
        <v>3</v>
      </c>
      <c r="AD3">
        <v>1</v>
      </c>
      <c r="AE3" t="s">
        <v>40</v>
      </c>
      <c r="AF3" t="s">
        <v>41</v>
      </c>
      <c r="AG3">
        <v>3</v>
      </c>
      <c r="AH3">
        <v>2</v>
      </c>
      <c r="AI3" t="s">
        <v>37</v>
      </c>
      <c r="AJ3" t="s">
        <v>40</v>
      </c>
      <c r="AK3">
        <v>1</v>
      </c>
      <c r="AL3">
        <v>2</v>
      </c>
      <c r="AM3" t="s">
        <v>41</v>
      </c>
      <c r="AN3" t="s">
        <v>38</v>
      </c>
      <c r="AO3">
        <v>2</v>
      </c>
      <c r="AP3">
        <v>1</v>
      </c>
      <c r="AQ3" t="s">
        <v>41</v>
      </c>
      <c r="AR3" t="s">
        <v>37</v>
      </c>
      <c r="AS3">
        <v>2</v>
      </c>
      <c r="AT3">
        <v>0</v>
      </c>
      <c r="AU3" t="s">
        <v>38</v>
      </c>
      <c r="AV3" t="s">
        <v>40</v>
      </c>
      <c r="AW3">
        <v>1</v>
      </c>
      <c r="AX3">
        <v>0</v>
      </c>
      <c r="AY3" t="s">
        <v>48</v>
      </c>
      <c r="AZ3" t="s">
        <v>49</v>
      </c>
      <c r="BA3">
        <v>1</v>
      </c>
      <c r="BB3">
        <v>0</v>
      </c>
      <c r="BC3" t="s">
        <v>51</v>
      </c>
      <c r="BD3" t="s">
        <v>52</v>
      </c>
      <c r="BE3">
        <v>0</v>
      </c>
      <c r="BF3">
        <v>0</v>
      </c>
      <c r="BG3" t="s">
        <v>48</v>
      </c>
      <c r="BH3" t="s">
        <v>51</v>
      </c>
      <c r="BI3">
        <v>1</v>
      </c>
      <c r="BJ3">
        <v>1</v>
      </c>
      <c r="BK3" t="s">
        <v>52</v>
      </c>
      <c r="BL3" t="s">
        <v>49</v>
      </c>
      <c r="BM3">
        <v>1</v>
      </c>
      <c r="BN3">
        <v>1</v>
      </c>
      <c r="BO3" t="s">
        <v>52</v>
      </c>
      <c r="BP3" t="s">
        <v>48</v>
      </c>
      <c r="BQ3">
        <v>2</v>
      </c>
      <c r="BR3">
        <v>2</v>
      </c>
      <c r="BS3" t="s">
        <v>49</v>
      </c>
      <c r="BT3" t="s">
        <v>51</v>
      </c>
      <c r="BU3">
        <v>2</v>
      </c>
      <c r="BV3">
        <v>2</v>
      </c>
      <c r="BW3" t="s">
        <v>59</v>
      </c>
      <c r="BX3" t="s">
        <v>60</v>
      </c>
      <c r="BY3">
        <v>0</v>
      </c>
      <c r="BZ3">
        <v>2</v>
      </c>
      <c r="CA3" t="s">
        <v>62</v>
      </c>
      <c r="CB3" t="s">
        <v>63</v>
      </c>
      <c r="CC3">
        <v>1</v>
      </c>
      <c r="CD3">
        <v>0</v>
      </c>
      <c r="CE3" t="s">
        <v>59</v>
      </c>
      <c r="CF3" t="s">
        <v>62</v>
      </c>
      <c r="CG3">
        <v>3</v>
      </c>
      <c r="CH3">
        <v>2</v>
      </c>
      <c r="CI3" t="s">
        <v>63</v>
      </c>
      <c r="CJ3" t="s">
        <v>60</v>
      </c>
      <c r="CK3">
        <v>1</v>
      </c>
      <c r="CL3">
        <v>1</v>
      </c>
      <c r="CM3" t="s">
        <v>63</v>
      </c>
      <c r="CN3" t="s">
        <v>59</v>
      </c>
      <c r="CO3">
        <v>2</v>
      </c>
      <c r="CP3">
        <v>1</v>
      </c>
      <c r="CQ3" t="s">
        <v>60</v>
      </c>
      <c r="CR3" t="s">
        <v>62</v>
      </c>
      <c r="CS3">
        <v>0</v>
      </c>
      <c r="CT3">
        <v>0</v>
      </c>
      <c r="CU3" t="s">
        <v>70</v>
      </c>
      <c r="CV3" t="s">
        <v>71</v>
      </c>
      <c r="CW3">
        <v>0</v>
      </c>
      <c r="CX3">
        <v>0</v>
      </c>
      <c r="CY3" t="s">
        <v>73</v>
      </c>
      <c r="CZ3" t="s">
        <v>74</v>
      </c>
      <c r="DA3">
        <v>0</v>
      </c>
      <c r="DB3">
        <v>0</v>
      </c>
      <c r="DC3" t="s">
        <v>70</v>
      </c>
      <c r="DD3" t="s">
        <v>73</v>
      </c>
      <c r="DE3">
        <v>3</v>
      </c>
      <c r="DF3">
        <v>1</v>
      </c>
      <c r="DG3" t="s">
        <v>74</v>
      </c>
      <c r="DH3" t="s">
        <v>71</v>
      </c>
      <c r="DI3">
        <v>0</v>
      </c>
      <c r="DJ3">
        <v>2</v>
      </c>
      <c r="DK3" t="s">
        <v>74</v>
      </c>
      <c r="DL3" t="s">
        <v>70</v>
      </c>
      <c r="DM3">
        <v>2</v>
      </c>
      <c r="DN3">
        <v>2</v>
      </c>
      <c r="DO3" t="s">
        <v>71</v>
      </c>
      <c r="DP3" t="s">
        <v>73</v>
      </c>
      <c r="DQ3">
        <v>1</v>
      </c>
      <c r="DR3">
        <v>1</v>
      </c>
      <c r="DS3" t="s">
        <v>81</v>
      </c>
      <c r="DT3" t="s">
        <v>82</v>
      </c>
      <c r="DU3">
        <v>1</v>
      </c>
      <c r="DV3">
        <v>2</v>
      </c>
      <c r="DW3" t="s">
        <v>84</v>
      </c>
      <c r="DX3" t="s">
        <v>85</v>
      </c>
      <c r="DY3">
        <v>0</v>
      </c>
      <c r="DZ3">
        <v>0</v>
      </c>
      <c r="EA3" t="s">
        <v>81</v>
      </c>
      <c r="EB3" t="s">
        <v>84</v>
      </c>
      <c r="EC3">
        <v>3</v>
      </c>
      <c r="ED3">
        <v>2</v>
      </c>
      <c r="EE3" t="s">
        <v>85</v>
      </c>
      <c r="EF3" t="s">
        <v>82</v>
      </c>
      <c r="EG3">
        <v>2</v>
      </c>
      <c r="EH3">
        <v>2</v>
      </c>
      <c r="EI3" t="s">
        <v>85</v>
      </c>
      <c r="EJ3" t="s">
        <v>81</v>
      </c>
      <c r="EK3">
        <v>1</v>
      </c>
      <c r="EL3">
        <v>0</v>
      </c>
      <c r="EM3" t="s">
        <v>82</v>
      </c>
      <c r="EN3" t="s">
        <v>84</v>
      </c>
      <c r="EO3">
        <v>3</v>
      </c>
      <c r="EP3">
        <v>0</v>
      </c>
      <c r="EQ3" t="s">
        <v>92</v>
      </c>
      <c r="ER3" t="s">
        <v>93</v>
      </c>
      <c r="ES3">
        <v>1</v>
      </c>
      <c r="ET3">
        <v>2</v>
      </c>
      <c r="EU3" t="s">
        <v>95</v>
      </c>
      <c r="EV3" t="s">
        <v>96</v>
      </c>
      <c r="EW3">
        <v>0</v>
      </c>
      <c r="EX3">
        <v>1</v>
      </c>
      <c r="EY3" t="s">
        <v>92</v>
      </c>
      <c r="EZ3" t="s">
        <v>95</v>
      </c>
      <c r="FA3">
        <v>2</v>
      </c>
      <c r="FB3">
        <v>0</v>
      </c>
      <c r="FC3" t="s">
        <v>96</v>
      </c>
      <c r="FD3" t="s">
        <v>93</v>
      </c>
      <c r="FE3">
        <v>0</v>
      </c>
      <c r="FF3">
        <v>0</v>
      </c>
      <c r="FG3" t="s">
        <v>96</v>
      </c>
      <c r="FH3" t="s">
        <v>92</v>
      </c>
      <c r="FI3">
        <v>1</v>
      </c>
      <c r="FJ3">
        <v>1</v>
      </c>
      <c r="FK3" t="s">
        <v>93</v>
      </c>
      <c r="FL3" t="s">
        <v>95</v>
      </c>
      <c r="FM3">
        <v>1</v>
      </c>
      <c r="FN3">
        <v>1</v>
      </c>
      <c r="FO3" t="s">
        <v>103</v>
      </c>
      <c r="FP3" t="s">
        <v>104</v>
      </c>
      <c r="FQ3">
        <v>3</v>
      </c>
      <c r="FR3">
        <v>0</v>
      </c>
      <c r="FS3" t="s">
        <v>106</v>
      </c>
      <c r="FT3" t="s">
        <v>107</v>
      </c>
      <c r="FU3">
        <v>2</v>
      </c>
      <c r="FV3">
        <v>0</v>
      </c>
      <c r="FW3" t="s">
        <v>103</v>
      </c>
      <c r="FX3" t="s">
        <v>106</v>
      </c>
      <c r="FY3">
        <v>3</v>
      </c>
      <c r="FZ3">
        <v>1</v>
      </c>
      <c r="GA3" t="s">
        <v>107</v>
      </c>
      <c r="GB3" t="s">
        <v>104</v>
      </c>
      <c r="GC3">
        <v>1</v>
      </c>
      <c r="GD3">
        <v>1</v>
      </c>
      <c r="GE3" t="s">
        <v>107</v>
      </c>
      <c r="GF3" t="s">
        <v>103</v>
      </c>
      <c r="GG3">
        <v>1</v>
      </c>
      <c r="GH3">
        <v>0</v>
      </c>
      <c r="GI3" t="s">
        <v>104</v>
      </c>
      <c r="GJ3" t="s">
        <v>106</v>
      </c>
      <c r="GK3">
        <v>3</v>
      </c>
      <c r="GL3">
        <v>1</v>
      </c>
      <c r="GM3" t="s">
        <v>114</v>
      </c>
      <c r="GN3" t="s">
        <v>115</v>
      </c>
      <c r="GO3">
        <v>3</v>
      </c>
      <c r="GP3">
        <v>0</v>
      </c>
      <c r="GQ3" t="s">
        <v>117</v>
      </c>
      <c r="GR3" t="s">
        <v>118</v>
      </c>
      <c r="GS3">
        <v>2</v>
      </c>
      <c r="GT3">
        <v>2</v>
      </c>
      <c r="GU3" t="s">
        <v>114</v>
      </c>
      <c r="GV3" t="s">
        <v>117</v>
      </c>
      <c r="GW3">
        <v>0</v>
      </c>
      <c r="GX3">
        <v>2</v>
      </c>
      <c r="GY3" t="s">
        <v>118</v>
      </c>
      <c r="GZ3" t="s">
        <v>115</v>
      </c>
      <c r="HA3">
        <v>1</v>
      </c>
      <c r="HB3">
        <v>2</v>
      </c>
      <c r="HC3" t="s">
        <v>118</v>
      </c>
      <c r="HD3" t="s">
        <v>114</v>
      </c>
      <c r="HE3">
        <v>3</v>
      </c>
      <c r="HF3">
        <v>0</v>
      </c>
      <c r="HG3" t="s">
        <v>115</v>
      </c>
      <c r="HH3" t="s">
        <v>117</v>
      </c>
      <c r="HI3">
        <v>2</v>
      </c>
      <c r="HJ3">
        <v>0</v>
      </c>
      <c r="HK3" t="s">
        <v>125</v>
      </c>
      <c r="HL3" t="s">
        <v>126</v>
      </c>
      <c r="HM3">
        <v>1</v>
      </c>
      <c r="HN3">
        <v>0</v>
      </c>
      <c r="HO3" t="s">
        <v>128</v>
      </c>
      <c r="HP3" t="s">
        <v>129</v>
      </c>
      <c r="HQ3">
        <v>2</v>
      </c>
      <c r="HR3">
        <v>2</v>
      </c>
      <c r="HS3" t="s">
        <v>125</v>
      </c>
      <c r="HT3" t="s">
        <v>128</v>
      </c>
      <c r="HU3">
        <v>0</v>
      </c>
      <c r="HV3">
        <v>0</v>
      </c>
      <c r="HW3" t="s">
        <v>129</v>
      </c>
      <c r="HX3" t="s">
        <v>126</v>
      </c>
      <c r="HY3">
        <v>1</v>
      </c>
      <c r="HZ3">
        <v>1</v>
      </c>
      <c r="IA3" t="s">
        <v>129</v>
      </c>
      <c r="IB3" t="s">
        <v>125</v>
      </c>
      <c r="IC3">
        <v>3</v>
      </c>
      <c r="ID3">
        <v>2</v>
      </c>
      <c r="IE3" t="s">
        <v>126</v>
      </c>
      <c r="IF3" t="s">
        <v>128</v>
      </c>
      <c r="IG3">
        <v>2</v>
      </c>
      <c r="IH3">
        <v>1</v>
      </c>
      <c r="II3" t="s">
        <v>136</v>
      </c>
      <c r="IJ3" t="s">
        <v>137</v>
      </c>
      <c r="IK3">
        <v>2</v>
      </c>
      <c r="IL3">
        <v>0</v>
      </c>
      <c r="IM3" t="s">
        <v>139</v>
      </c>
      <c r="IN3" t="s">
        <v>140</v>
      </c>
      <c r="IO3">
        <v>0</v>
      </c>
      <c r="IP3">
        <v>2</v>
      </c>
      <c r="IQ3" t="s">
        <v>136</v>
      </c>
      <c r="IR3" t="s">
        <v>139</v>
      </c>
      <c r="IS3">
        <v>1</v>
      </c>
      <c r="IT3">
        <v>1</v>
      </c>
      <c r="IU3" t="s">
        <v>140</v>
      </c>
      <c r="IV3" t="s">
        <v>137</v>
      </c>
      <c r="IW3">
        <v>1</v>
      </c>
      <c r="IX3">
        <v>0</v>
      </c>
      <c r="IY3" t="s">
        <v>140</v>
      </c>
      <c r="IZ3" t="s">
        <v>136</v>
      </c>
      <c r="JA3">
        <v>2</v>
      </c>
      <c r="JB3">
        <v>0</v>
      </c>
      <c r="JC3" t="s">
        <v>137</v>
      </c>
      <c r="JD3" t="s">
        <v>139</v>
      </c>
      <c r="JE3">
        <v>0</v>
      </c>
      <c r="JF3">
        <v>1</v>
      </c>
      <c r="JG3" t="s">
        <v>147</v>
      </c>
      <c r="JH3" t="s">
        <v>148</v>
      </c>
      <c r="JI3">
        <v>3</v>
      </c>
      <c r="JJ3">
        <v>1</v>
      </c>
      <c r="JK3" t="s">
        <v>150</v>
      </c>
      <c r="JL3" t="s">
        <v>151</v>
      </c>
      <c r="JM3">
        <v>3</v>
      </c>
      <c r="JN3">
        <v>2</v>
      </c>
      <c r="JO3" t="s">
        <v>147</v>
      </c>
      <c r="JP3" t="s">
        <v>150</v>
      </c>
      <c r="JQ3">
        <v>3</v>
      </c>
      <c r="JR3">
        <v>2</v>
      </c>
      <c r="JS3" t="s">
        <v>151</v>
      </c>
      <c r="JT3" t="s">
        <v>148</v>
      </c>
      <c r="JU3">
        <v>3</v>
      </c>
      <c r="JV3">
        <v>1</v>
      </c>
      <c r="JW3" t="s">
        <v>151</v>
      </c>
      <c r="JX3" t="s">
        <v>147</v>
      </c>
      <c r="JY3">
        <v>0</v>
      </c>
      <c r="JZ3">
        <v>2</v>
      </c>
      <c r="KA3" t="s">
        <v>148</v>
      </c>
      <c r="KB3" t="s">
        <v>150</v>
      </c>
      <c r="KC3">
        <v>0</v>
      </c>
      <c r="KD3">
        <v>2</v>
      </c>
      <c r="KE3">
        <f>IF(OR(ISBLANK(E3),ISBLANK(F3),ISBLANK('01_results_input'!F2),ISBLANK('01_results_input'!G2)),"",IF(AND(E3='01_results_input'!F2,F3='01_results_input'!G2),pts_group_toto+pts_group_exact_bonus,IF(OR(AND(E3&gt;F3,'01_results_input'!F2&gt;'01_results_input'!G2),AND(E3&lt;F3,'01_results_input'!F2&lt;'01_results_input'!G2),AND(E3=F3,'01_results_input'!F2='01_results_input'!G2)),pts_group_toto,0)))</f>
      </c>
      <c r="KF3">
        <f>IF(OR(ISBLANK(I3),ISBLANK(J3),ISBLANK('01_results_input'!F3),ISBLANK('01_results_input'!G3)),"",IF(AND(I3='01_results_input'!F3,J3='01_results_input'!G3),pts_group_toto+pts_group_exact_bonus,IF(OR(AND(I3&gt;J3,'01_results_input'!F3&gt;'01_results_input'!G3),AND(I3&lt;J3,'01_results_input'!F3&lt;'01_results_input'!G3),AND(I3=J3,'01_results_input'!F3='01_results_input'!G3)),pts_group_toto,0)))</f>
      </c>
      <c r="KG3">
        <f>IF(OR(ISBLANK(M3),ISBLANK(N3),ISBLANK('01_results_input'!F4),ISBLANK('01_results_input'!G4)),"",IF(AND(M3='01_results_input'!F4,N3='01_results_input'!G4),pts_group_toto+pts_group_exact_bonus,IF(OR(AND(M3&gt;N3,'01_results_input'!F4&gt;'01_results_input'!G4),AND(M3&lt;N3,'01_results_input'!F4&lt;'01_results_input'!G4),AND(M3=N3,'01_results_input'!F4='01_results_input'!G4)),pts_group_toto,0)))</f>
      </c>
      <c r="KH3">
        <f>IF(OR(ISBLANK(Q3),ISBLANK(R3),ISBLANK('01_results_input'!F5),ISBLANK('01_results_input'!G5)),"",IF(AND(Q3='01_results_input'!F5,R3='01_results_input'!G5),pts_group_toto+pts_group_exact_bonus,IF(OR(AND(Q3&gt;R3,'01_results_input'!F5&gt;'01_results_input'!G5),AND(Q3&lt;R3,'01_results_input'!F5&lt;'01_results_input'!G5),AND(Q3=R3,'01_results_input'!F5='01_results_input'!G5)),pts_group_toto,0)))</f>
      </c>
      <c r="KI3">
        <f>IF(OR(ISBLANK(U3),ISBLANK(V3),ISBLANK('01_results_input'!F6),ISBLANK('01_results_input'!G6)),"",IF(AND(U3='01_results_input'!F6,V3='01_results_input'!G6),pts_group_toto+pts_group_exact_bonus,IF(OR(AND(U3&gt;V3,'01_results_input'!F6&gt;'01_results_input'!G6),AND(U3&lt;V3,'01_results_input'!F6&lt;'01_results_input'!G6),AND(U3=V3,'01_results_input'!F6='01_results_input'!G6)),pts_group_toto,0)))</f>
      </c>
      <c r="KJ3">
        <f>IF(OR(ISBLANK(Y3),ISBLANK(Z3),ISBLANK('01_results_input'!F7),ISBLANK('01_results_input'!G7)),"",IF(AND(Y3='01_results_input'!F7,Z3='01_results_input'!G7),pts_group_toto+pts_group_exact_bonus,IF(OR(AND(Y3&gt;Z3,'01_results_input'!F7&gt;'01_results_input'!G7),AND(Y3&lt;Z3,'01_results_input'!F7&lt;'01_results_input'!G7),AND(Y3=Z3,'01_results_input'!F7='01_results_input'!G7)),pts_group_toto,0)))</f>
      </c>
      <c r="KK3">
        <f>IF(OR(ISBLANK(AC3),ISBLANK(AD3),ISBLANK('01_results_input'!F8),ISBLANK('01_results_input'!G8)),"",IF(AND(AC3='01_results_input'!F8,AD3='01_results_input'!G8),pts_group_toto+pts_group_exact_bonus,IF(OR(AND(AC3&gt;AD3,'01_results_input'!F8&gt;'01_results_input'!G8),AND(AC3&lt;AD3,'01_results_input'!F8&lt;'01_results_input'!G8),AND(AC3=AD3,'01_results_input'!F8='01_results_input'!G8)),pts_group_toto,0)))</f>
      </c>
      <c r="KL3">
        <f>IF(OR(ISBLANK(AG3),ISBLANK(AH3),ISBLANK('01_results_input'!F9),ISBLANK('01_results_input'!G9)),"",IF(AND(AG3='01_results_input'!F9,AH3='01_results_input'!G9),pts_group_toto+pts_group_exact_bonus,IF(OR(AND(AG3&gt;AH3,'01_results_input'!F9&gt;'01_results_input'!G9),AND(AG3&lt;AH3,'01_results_input'!F9&lt;'01_results_input'!G9),AND(AG3=AH3,'01_results_input'!F9='01_results_input'!G9)),pts_group_toto,0)))</f>
      </c>
      <c r="KM3">
        <f>IF(OR(ISBLANK(AK3),ISBLANK(AL3),ISBLANK('01_results_input'!F10),ISBLANK('01_results_input'!G10)),"",IF(AND(AK3='01_results_input'!F10,AL3='01_results_input'!G10),pts_group_toto+pts_group_exact_bonus,IF(OR(AND(AK3&gt;AL3,'01_results_input'!F10&gt;'01_results_input'!G10),AND(AK3&lt;AL3,'01_results_input'!F10&lt;'01_results_input'!G10),AND(AK3=AL3,'01_results_input'!F10='01_results_input'!G10)),pts_group_toto,0)))</f>
      </c>
      <c r="KN3">
        <f>IF(OR(ISBLANK(AO3),ISBLANK(AP3),ISBLANK('01_results_input'!F11),ISBLANK('01_results_input'!G11)),"",IF(AND(AO3='01_results_input'!F11,AP3='01_results_input'!G11),pts_group_toto+pts_group_exact_bonus,IF(OR(AND(AO3&gt;AP3,'01_results_input'!F11&gt;'01_results_input'!G11),AND(AO3&lt;AP3,'01_results_input'!F11&lt;'01_results_input'!G11),AND(AO3=AP3,'01_results_input'!F11='01_results_input'!G11)),pts_group_toto,0)))</f>
      </c>
      <c r="KO3">
        <f>IF(OR(ISBLANK(AS3),ISBLANK(AT3),ISBLANK('01_results_input'!F12),ISBLANK('01_results_input'!G12)),"",IF(AND(AS3='01_results_input'!F12,AT3='01_results_input'!G12),pts_group_toto+pts_group_exact_bonus,IF(OR(AND(AS3&gt;AT3,'01_results_input'!F12&gt;'01_results_input'!G12),AND(AS3&lt;AT3,'01_results_input'!F12&lt;'01_results_input'!G12),AND(AS3=AT3,'01_results_input'!F12='01_results_input'!G12)),pts_group_toto,0)))</f>
      </c>
      <c r="KP3">
        <f>IF(OR(ISBLANK(AW3),ISBLANK(AX3),ISBLANK('01_results_input'!F13),ISBLANK('01_results_input'!G13)),"",IF(AND(AW3='01_results_input'!F13,AX3='01_results_input'!G13),pts_group_toto+pts_group_exact_bonus,IF(OR(AND(AW3&gt;AX3,'01_results_input'!F13&gt;'01_results_input'!G13),AND(AW3&lt;AX3,'01_results_input'!F13&lt;'01_results_input'!G13),AND(AW3=AX3,'01_results_input'!F13='01_results_input'!G13)),pts_group_toto,0)))</f>
      </c>
      <c r="KQ3">
        <f>IF(OR(ISBLANK(BA3),ISBLANK(BB3),ISBLANK('01_results_input'!F14),ISBLANK('01_results_input'!G14)),"",IF(AND(BA3='01_results_input'!F14,BB3='01_results_input'!G14),pts_group_toto+pts_group_exact_bonus,IF(OR(AND(BA3&gt;BB3,'01_results_input'!F14&gt;'01_results_input'!G14),AND(BA3&lt;BB3,'01_results_input'!F14&lt;'01_results_input'!G14),AND(BA3=BB3,'01_results_input'!F14='01_results_input'!G14)),pts_group_toto,0)))</f>
      </c>
      <c r="KR3">
        <f>IF(OR(ISBLANK(BE3),ISBLANK(BF3),ISBLANK('01_results_input'!F15),ISBLANK('01_results_input'!G15)),"",IF(AND(BE3='01_results_input'!F15,BF3='01_results_input'!G15),pts_group_toto+pts_group_exact_bonus,IF(OR(AND(BE3&gt;BF3,'01_results_input'!F15&gt;'01_results_input'!G15),AND(BE3&lt;BF3,'01_results_input'!F15&lt;'01_results_input'!G15),AND(BE3=BF3,'01_results_input'!F15='01_results_input'!G15)),pts_group_toto,0)))</f>
      </c>
      <c r="KS3">
        <f>IF(OR(ISBLANK(BI3),ISBLANK(BJ3),ISBLANK('01_results_input'!F16),ISBLANK('01_results_input'!G16)),"",IF(AND(BI3='01_results_input'!F16,BJ3='01_results_input'!G16),pts_group_toto+pts_group_exact_bonus,IF(OR(AND(BI3&gt;BJ3,'01_results_input'!F16&gt;'01_results_input'!G16),AND(BI3&lt;BJ3,'01_results_input'!F16&lt;'01_results_input'!G16),AND(BI3=BJ3,'01_results_input'!F16='01_results_input'!G16)),pts_group_toto,0)))</f>
      </c>
      <c r="KT3">
        <f>IF(OR(ISBLANK(BM3),ISBLANK(BN3),ISBLANK('01_results_input'!F17),ISBLANK('01_results_input'!G17)),"",IF(AND(BM3='01_results_input'!F17,BN3='01_results_input'!G17),pts_group_toto+pts_group_exact_bonus,IF(OR(AND(BM3&gt;BN3,'01_results_input'!F17&gt;'01_results_input'!G17),AND(BM3&lt;BN3,'01_results_input'!F17&lt;'01_results_input'!G17),AND(BM3=BN3,'01_results_input'!F17='01_results_input'!G17)),pts_group_toto,0)))</f>
      </c>
      <c r="KU3">
        <f>IF(OR(ISBLANK(BQ3),ISBLANK(BR3),ISBLANK('01_results_input'!F18),ISBLANK('01_results_input'!G18)),"",IF(AND(BQ3='01_results_input'!F18,BR3='01_results_input'!G18),pts_group_toto+pts_group_exact_bonus,IF(OR(AND(BQ3&gt;BR3,'01_results_input'!F18&gt;'01_results_input'!G18),AND(BQ3&lt;BR3,'01_results_input'!F18&lt;'01_results_input'!G18),AND(BQ3=BR3,'01_results_input'!F18='01_results_input'!G18)),pts_group_toto,0)))</f>
      </c>
      <c r="KV3">
        <f>IF(OR(ISBLANK(BU3),ISBLANK(BV3),ISBLANK('01_results_input'!F19),ISBLANK('01_results_input'!G19)),"",IF(AND(BU3='01_results_input'!F19,BV3='01_results_input'!G19),pts_group_toto+pts_group_exact_bonus,IF(OR(AND(BU3&gt;BV3,'01_results_input'!F19&gt;'01_results_input'!G19),AND(BU3&lt;BV3,'01_results_input'!F19&lt;'01_results_input'!G19),AND(BU3=BV3,'01_results_input'!F19='01_results_input'!G19)),pts_group_toto,0)))</f>
      </c>
      <c r="KW3">
        <f>IF(OR(ISBLANK(BY3),ISBLANK(BZ3),ISBLANK('01_results_input'!F20),ISBLANK('01_results_input'!G20)),"",IF(AND(BY3='01_results_input'!F20,BZ3='01_results_input'!G20),pts_group_toto+pts_group_exact_bonus,IF(OR(AND(BY3&gt;BZ3,'01_results_input'!F20&gt;'01_results_input'!G20),AND(BY3&lt;BZ3,'01_results_input'!F20&lt;'01_results_input'!G20),AND(BY3=BZ3,'01_results_input'!F20='01_results_input'!G20)),pts_group_toto,0)))</f>
      </c>
      <c r="KX3">
        <f>IF(OR(ISBLANK(CC3),ISBLANK(CD3),ISBLANK('01_results_input'!F21),ISBLANK('01_results_input'!G21)),"",IF(AND(CC3='01_results_input'!F21,CD3='01_results_input'!G21),pts_group_toto+pts_group_exact_bonus,IF(OR(AND(CC3&gt;CD3,'01_results_input'!F21&gt;'01_results_input'!G21),AND(CC3&lt;CD3,'01_results_input'!F21&lt;'01_results_input'!G21),AND(CC3=CD3,'01_results_input'!F21='01_results_input'!G21)),pts_group_toto,0)))</f>
      </c>
      <c r="KY3">
        <f>IF(OR(ISBLANK(CG3),ISBLANK(CH3),ISBLANK('01_results_input'!F22),ISBLANK('01_results_input'!G22)),"",IF(AND(CG3='01_results_input'!F22,CH3='01_results_input'!G22),pts_group_toto+pts_group_exact_bonus,IF(OR(AND(CG3&gt;CH3,'01_results_input'!F22&gt;'01_results_input'!G22),AND(CG3&lt;CH3,'01_results_input'!F22&lt;'01_results_input'!G22),AND(CG3=CH3,'01_results_input'!F22='01_results_input'!G22)),pts_group_toto,0)))</f>
      </c>
      <c r="KZ3">
        <f>IF(OR(ISBLANK(CK3),ISBLANK(CL3),ISBLANK('01_results_input'!F23),ISBLANK('01_results_input'!G23)),"",IF(AND(CK3='01_results_input'!F23,CL3='01_results_input'!G23),pts_group_toto+pts_group_exact_bonus,IF(OR(AND(CK3&gt;CL3,'01_results_input'!F23&gt;'01_results_input'!G23),AND(CK3&lt;CL3,'01_results_input'!F23&lt;'01_results_input'!G23),AND(CK3=CL3,'01_results_input'!F23='01_results_input'!G23)),pts_group_toto,0)))</f>
      </c>
      <c r="LA3">
        <f>IF(OR(ISBLANK(CO3),ISBLANK(CP3),ISBLANK('01_results_input'!F24),ISBLANK('01_results_input'!G24)),"",IF(AND(CO3='01_results_input'!F24,CP3='01_results_input'!G24),pts_group_toto+pts_group_exact_bonus,IF(OR(AND(CO3&gt;CP3,'01_results_input'!F24&gt;'01_results_input'!G24),AND(CO3&lt;CP3,'01_results_input'!F24&lt;'01_results_input'!G24),AND(CO3=CP3,'01_results_input'!F24='01_results_input'!G24)),pts_group_toto,0)))</f>
      </c>
      <c r="LB3">
        <f>IF(OR(ISBLANK(CS3),ISBLANK(CT3),ISBLANK('01_results_input'!F25),ISBLANK('01_results_input'!G25)),"",IF(AND(CS3='01_results_input'!F25,CT3='01_results_input'!G25),pts_group_toto+pts_group_exact_bonus,IF(OR(AND(CS3&gt;CT3,'01_results_input'!F25&gt;'01_results_input'!G25),AND(CS3&lt;CT3,'01_results_input'!F25&lt;'01_results_input'!G25),AND(CS3=CT3,'01_results_input'!F25='01_results_input'!G25)),pts_group_toto,0)))</f>
      </c>
      <c r="LC3">
        <f>IF(OR(ISBLANK(CW3),ISBLANK(CX3),ISBLANK('01_results_input'!F26),ISBLANK('01_results_input'!G26)),"",IF(AND(CW3='01_results_input'!F26,CX3='01_results_input'!G26),pts_group_toto+pts_group_exact_bonus,IF(OR(AND(CW3&gt;CX3,'01_results_input'!F26&gt;'01_results_input'!G26),AND(CW3&lt;CX3,'01_results_input'!F26&lt;'01_results_input'!G26),AND(CW3=CX3,'01_results_input'!F26='01_results_input'!G26)),pts_group_toto,0)))</f>
      </c>
      <c r="LD3">
        <f>IF(OR(ISBLANK(DA3),ISBLANK(DB3),ISBLANK('01_results_input'!F27),ISBLANK('01_results_input'!G27)),"",IF(AND(DA3='01_results_input'!F27,DB3='01_results_input'!G27),pts_group_toto+pts_group_exact_bonus,IF(OR(AND(DA3&gt;DB3,'01_results_input'!F27&gt;'01_results_input'!G27),AND(DA3&lt;DB3,'01_results_input'!F27&lt;'01_results_input'!G27),AND(DA3=DB3,'01_results_input'!F27='01_results_input'!G27)),pts_group_toto,0)))</f>
      </c>
      <c r="LE3">
        <f>IF(OR(ISBLANK(DE3),ISBLANK(DF3),ISBLANK('01_results_input'!F28),ISBLANK('01_results_input'!G28)),"",IF(AND(DE3='01_results_input'!F28,DF3='01_results_input'!G28),pts_group_toto+pts_group_exact_bonus,IF(OR(AND(DE3&gt;DF3,'01_results_input'!F28&gt;'01_results_input'!G28),AND(DE3&lt;DF3,'01_results_input'!F28&lt;'01_results_input'!G28),AND(DE3=DF3,'01_results_input'!F28='01_results_input'!G28)),pts_group_toto,0)))</f>
      </c>
      <c r="LF3">
        <f>IF(OR(ISBLANK(DI3),ISBLANK(DJ3),ISBLANK('01_results_input'!F29),ISBLANK('01_results_input'!G29)),"",IF(AND(DI3='01_results_input'!F29,DJ3='01_results_input'!G29),pts_group_toto+pts_group_exact_bonus,IF(OR(AND(DI3&gt;DJ3,'01_results_input'!F29&gt;'01_results_input'!G29),AND(DI3&lt;DJ3,'01_results_input'!F29&lt;'01_results_input'!G29),AND(DI3=DJ3,'01_results_input'!F29='01_results_input'!G29)),pts_group_toto,0)))</f>
      </c>
      <c r="LG3">
        <f>IF(OR(ISBLANK(DM3),ISBLANK(DN3),ISBLANK('01_results_input'!F30),ISBLANK('01_results_input'!G30)),"",IF(AND(DM3='01_results_input'!F30,DN3='01_results_input'!G30),pts_group_toto+pts_group_exact_bonus,IF(OR(AND(DM3&gt;DN3,'01_results_input'!F30&gt;'01_results_input'!G30),AND(DM3&lt;DN3,'01_results_input'!F30&lt;'01_results_input'!G30),AND(DM3=DN3,'01_results_input'!F30='01_results_input'!G30)),pts_group_toto,0)))</f>
      </c>
      <c r="LH3">
        <f>IF(OR(ISBLANK(DQ3),ISBLANK(DR3),ISBLANK('01_results_input'!F31),ISBLANK('01_results_input'!G31)),"",IF(AND(DQ3='01_results_input'!F31,DR3='01_results_input'!G31),pts_group_toto+pts_group_exact_bonus,IF(OR(AND(DQ3&gt;DR3,'01_results_input'!F31&gt;'01_results_input'!G31),AND(DQ3&lt;DR3,'01_results_input'!F31&lt;'01_results_input'!G31),AND(DQ3=DR3,'01_results_input'!F31='01_results_input'!G31)),pts_group_toto,0)))</f>
      </c>
      <c r="LI3">
        <f>IF(OR(ISBLANK(DU3),ISBLANK(DV3),ISBLANK('01_results_input'!F32),ISBLANK('01_results_input'!G32)),"",IF(AND(DU3='01_results_input'!F32,DV3='01_results_input'!G32),pts_group_toto+pts_group_exact_bonus,IF(OR(AND(DU3&gt;DV3,'01_results_input'!F32&gt;'01_results_input'!G32),AND(DU3&lt;DV3,'01_results_input'!F32&lt;'01_results_input'!G32),AND(DU3=DV3,'01_results_input'!F32='01_results_input'!G32)),pts_group_toto,0)))</f>
      </c>
      <c r="LJ3">
        <f>IF(OR(ISBLANK(DY3),ISBLANK(DZ3),ISBLANK('01_results_input'!F33),ISBLANK('01_results_input'!G33)),"",IF(AND(DY3='01_results_input'!F33,DZ3='01_results_input'!G33),pts_group_toto+pts_group_exact_bonus,IF(OR(AND(DY3&gt;DZ3,'01_results_input'!F33&gt;'01_results_input'!G33),AND(DY3&lt;DZ3,'01_results_input'!F33&lt;'01_results_input'!G33),AND(DY3=DZ3,'01_results_input'!F33='01_results_input'!G33)),pts_group_toto,0)))</f>
      </c>
      <c r="LK3">
        <f>IF(OR(ISBLANK(EC3),ISBLANK(ED3),ISBLANK('01_results_input'!F34),ISBLANK('01_results_input'!G34)),"",IF(AND(EC3='01_results_input'!F34,ED3='01_results_input'!G34),pts_group_toto+pts_group_exact_bonus,IF(OR(AND(EC3&gt;ED3,'01_results_input'!F34&gt;'01_results_input'!G34),AND(EC3&lt;ED3,'01_results_input'!F34&lt;'01_results_input'!G34),AND(EC3=ED3,'01_results_input'!F34='01_results_input'!G34)),pts_group_toto,0)))</f>
      </c>
      <c r="LL3">
        <f>IF(OR(ISBLANK(EG3),ISBLANK(EH3),ISBLANK('01_results_input'!F35),ISBLANK('01_results_input'!G35)),"",IF(AND(EG3='01_results_input'!F35,EH3='01_results_input'!G35),pts_group_toto+pts_group_exact_bonus,IF(OR(AND(EG3&gt;EH3,'01_results_input'!F35&gt;'01_results_input'!G35),AND(EG3&lt;EH3,'01_results_input'!F35&lt;'01_results_input'!G35),AND(EG3=EH3,'01_results_input'!F35='01_results_input'!G35)),pts_group_toto,0)))</f>
      </c>
      <c r="LM3">
        <f>IF(OR(ISBLANK(EK3),ISBLANK(EL3),ISBLANK('01_results_input'!F36),ISBLANK('01_results_input'!G36)),"",IF(AND(EK3='01_results_input'!F36,EL3='01_results_input'!G36),pts_group_toto+pts_group_exact_bonus,IF(OR(AND(EK3&gt;EL3,'01_results_input'!F36&gt;'01_results_input'!G36),AND(EK3&lt;EL3,'01_results_input'!F36&lt;'01_results_input'!G36),AND(EK3=EL3,'01_results_input'!F36='01_results_input'!G36)),pts_group_toto,0)))</f>
      </c>
      <c r="LN3">
        <f>IF(OR(ISBLANK(EO3),ISBLANK(EP3),ISBLANK('01_results_input'!F37),ISBLANK('01_results_input'!G37)),"",IF(AND(EO3='01_results_input'!F37,EP3='01_results_input'!G37),pts_group_toto+pts_group_exact_bonus,IF(OR(AND(EO3&gt;EP3,'01_results_input'!F37&gt;'01_results_input'!G37),AND(EO3&lt;EP3,'01_results_input'!F37&lt;'01_results_input'!G37),AND(EO3=EP3,'01_results_input'!F37='01_results_input'!G37)),pts_group_toto,0)))</f>
      </c>
      <c r="LO3">
        <f>IF(OR(ISBLANK(ES3),ISBLANK(ET3),ISBLANK('01_results_input'!F38),ISBLANK('01_results_input'!G38)),"",IF(AND(ES3='01_results_input'!F38,ET3='01_results_input'!G38),pts_group_toto+pts_group_exact_bonus,IF(OR(AND(ES3&gt;ET3,'01_results_input'!F38&gt;'01_results_input'!G38),AND(ES3&lt;ET3,'01_results_input'!F38&lt;'01_results_input'!G38),AND(ES3=ET3,'01_results_input'!F38='01_results_input'!G38)),pts_group_toto,0)))</f>
      </c>
      <c r="LP3">
        <f>IF(OR(ISBLANK(EW3),ISBLANK(EX3),ISBLANK('01_results_input'!F39),ISBLANK('01_results_input'!G39)),"",IF(AND(EW3='01_results_input'!F39,EX3='01_results_input'!G39),pts_group_toto+pts_group_exact_bonus,IF(OR(AND(EW3&gt;EX3,'01_results_input'!F39&gt;'01_results_input'!G39),AND(EW3&lt;EX3,'01_results_input'!F39&lt;'01_results_input'!G39),AND(EW3=EX3,'01_results_input'!F39='01_results_input'!G39)),pts_group_toto,0)))</f>
      </c>
      <c r="LQ3">
        <f>IF(OR(ISBLANK(FA3),ISBLANK(FB3),ISBLANK('01_results_input'!F40),ISBLANK('01_results_input'!G40)),"",IF(AND(FA3='01_results_input'!F40,FB3='01_results_input'!G40),pts_group_toto+pts_group_exact_bonus,IF(OR(AND(FA3&gt;FB3,'01_results_input'!F40&gt;'01_results_input'!G40),AND(FA3&lt;FB3,'01_results_input'!F40&lt;'01_results_input'!G40),AND(FA3=FB3,'01_results_input'!F40='01_results_input'!G40)),pts_group_toto,0)))</f>
      </c>
      <c r="LR3">
        <f>IF(OR(ISBLANK(FE3),ISBLANK(FF3),ISBLANK('01_results_input'!F41),ISBLANK('01_results_input'!G41)),"",IF(AND(FE3='01_results_input'!F41,FF3='01_results_input'!G41),pts_group_toto+pts_group_exact_bonus,IF(OR(AND(FE3&gt;FF3,'01_results_input'!F41&gt;'01_results_input'!G41),AND(FE3&lt;FF3,'01_results_input'!F41&lt;'01_results_input'!G41),AND(FE3=FF3,'01_results_input'!F41='01_results_input'!G41)),pts_group_toto,0)))</f>
      </c>
      <c r="LS3">
        <f>IF(OR(ISBLANK(FI3),ISBLANK(FJ3),ISBLANK('01_results_input'!F42),ISBLANK('01_results_input'!G42)),"",IF(AND(FI3='01_results_input'!F42,FJ3='01_results_input'!G42),pts_group_toto+pts_group_exact_bonus,IF(OR(AND(FI3&gt;FJ3,'01_results_input'!F42&gt;'01_results_input'!G42),AND(FI3&lt;FJ3,'01_results_input'!F42&lt;'01_results_input'!G42),AND(FI3=FJ3,'01_results_input'!F42='01_results_input'!G42)),pts_group_toto,0)))</f>
      </c>
      <c r="LT3">
        <f>IF(OR(ISBLANK(FM3),ISBLANK(FN3),ISBLANK('01_results_input'!F43),ISBLANK('01_results_input'!G43)),"",IF(AND(FM3='01_results_input'!F43,FN3='01_results_input'!G43),pts_group_toto+pts_group_exact_bonus,IF(OR(AND(FM3&gt;FN3,'01_results_input'!F43&gt;'01_results_input'!G43),AND(FM3&lt;FN3,'01_results_input'!F43&lt;'01_results_input'!G43),AND(FM3=FN3,'01_results_input'!F43='01_results_input'!G43)),pts_group_toto,0)))</f>
      </c>
      <c r="LU3">
        <f>IF(OR(ISBLANK(FQ3),ISBLANK(FR3),ISBLANK('01_results_input'!F44),ISBLANK('01_results_input'!G44)),"",IF(AND(FQ3='01_results_input'!F44,FR3='01_results_input'!G44),pts_group_toto+pts_group_exact_bonus,IF(OR(AND(FQ3&gt;FR3,'01_results_input'!F44&gt;'01_results_input'!G44),AND(FQ3&lt;FR3,'01_results_input'!F44&lt;'01_results_input'!G44),AND(FQ3=FR3,'01_results_input'!F44='01_results_input'!G44)),pts_group_toto,0)))</f>
      </c>
      <c r="LV3">
        <f>IF(OR(ISBLANK(FU3),ISBLANK(FV3),ISBLANK('01_results_input'!F45),ISBLANK('01_results_input'!G45)),"",IF(AND(FU3='01_results_input'!F45,FV3='01_results_input'!G45),pts_group_toto+pts_group_exact_bonus,IF(OR(AND(FU3&gt;FV3,'01_results_input'!F45&gt;'01_results_input'!G45),AND(FU3&lt;FV3,'01_results_input'!F45&lt;'01_results_input'!G45),AND(FU3=FV3,'01_results_input'!F45='01_results_input'!G45)),pts_group_toto,0)))</f>
      </c>
      <c r="LW3">
        <f>IF(OR(ISBLANK(FY3),ISBLANK(FZ3),ISBLANK('01_results_input'!F46),ISBLANK('01_results_input'!G46)),"",IF(AND(FY3='01_results_input'!F46,FZ3='01_results_input'!G46),pts_group_toto+pts_group_exact_bonus,IF(OR(AND(FY3&gt;FZ3,'01_results_input'!F46&gt;'01_results_input'!G46),AND(FY3&lt;FZ3,'01_results_input'!F46&lt;'01_results_input'!G46),AND(FY3=FZ3,'01_results_input'!F46='01_results_input'!G46)),pts_group_toto,0)))</f>
      </c>
      <c r="LX3">
        <f>IF(OR(ISBLANK(GC3),ISBLANK(GD3),ISBLANK('01_results_input'!F47),ISBLANK('01_results_input'!G47)),"",IF(AND(GC3='01_results_input'!F47,GD3='01_results_input'!G47),pts_group_toto+pts_group_exact_bonus,IF(OR(AND(GC3&gt;GD3,'01_results_input'!F47&gt;'01_results_input'!G47),AND(GC3&lt;GD3,'01_results_input'!F47&lt;'01_results_input'!G47),AND(GC3=GD3,'01_results_input'!F47='01_results_input'!G47)),pts_group_toto,0)))</f>
      </c>
      <c r="LY3">
        <f>IF(OR(ISBLANK(GG3),ISBLANK(GH3),ISBLANK('01_results_input'!F48),ISBLANK('01_results_input'!G48)),"",IF(AND(GG3='01_results_input'!F48,GH3='01_results_input'!G48),pts_group_toto+pts_group_exact_bonus,IF(OR(AND(GG3&gt;GH3,'01_results_input'!F48&gt;'01_results_input'!G48),AND(GG3&lt;GH3,'01_results_input'!F48&lt;'01_results_input'!G48),AND(GG3=GH3,'01_results_input'!F48='01_results_input'!G48)),pts_group_toto,0)))</f>
      </c>
      <c r="LZ3">
        <f>IF(OR(ISBLANK(GK3),ISBLANK(GL3),ISBLANK('01_results_input'!F49),ISBLANK('01_results_input'!G49)),"",IF(AND(GK3='01_results_input'!F49,GL3='01_results_input'!G49),pts_group_toto+pts_group_exact_bonus,IF(OR(AND(GK3&gt;GL3,'01_results_input'!F49&gt;'01_results_input'!G49),AND(GK3&lt;GL3,'01_results_input'!F49&lt;'01_results_input'!G49),AND(GK3=GL3,'01_results_input'!F49='01_results_input'!G49)),pts_group_toto,0)))</f>
      </c>
      <c r="MA3">
        <f>IF(OR(ISBLANK(GO3),ISBLANK(GP3),ISBLANK('01_results_input'!F50),ISBLANK('01_results_input'!G50)),"",IF(AND(GO3='01_results_input'!F50,GP3='01_results_input'!G50),pts_group_toto+pts_group_exact_bonus,IF(OR(AND(GO3&gt;GP3,'01_results_input'!F50&gt;'01_results_input'!G50),AND(GO3&lt;GP3,'01_results_input'!F50&lt;'01_results_input'!G50),AND(GO3=GP3,'01_results_input'!F50='01_results_input'!G50)),pts_group_toto,0)))</f>
      </c>
      <c r="MB3">
        <f>IF(OR(ISBLANK(GS3),ISBLANK(GT3),ISBLANK('01_results_input'!F51),ISBLANK('01_results_input'!G51)),"",IF(AND(GS3='01_results_input'!F51,GT3='01_results_input'!G51),pts_group_toto+pts_group_exact_bonus,IF(OR(AND(GS3&gt;GT3,'01_results_input'!F51&gt;'01_results_input'!G51),AND(GS3&lt;GT3,'01_results_input'!F51&lt;'01_results_input'!G51),AND(GS3=GT3,'01_results_input'!F51='01_results_input'!G51)),pts_group_toto,0)))</f>
      </c>
      <c r="MC3">
        <f>IF(OR(ISBLANK(GW3),ISBLANK(GX3),ISBLANK('01_results_input'!F52),ISBLANK('01_results_input'!G52)),"",IF(AND(GW3='01_results_input'!F52,GX3='01_results_input'!G52),pts_group_toto+pts_group_exact_bonus,IF(OR(AND(GW3&gt;GX3,'01_results_input'!F52&gt;'01_results_input'!G52),AND(GW3&lt;GX3,'01_results_input'!F52&lt;'01_results_input'!G52),AND(GW3=GX3,'01_results_input'!F52='01_results_input'!G52)),pts_group_toto,0)))</f>
      </c>
      <c r="MD3">
        <f>IF(OR(ISBLANK(HA3),ISBLANK(HB3),ISBLANK('01_results_input'!F53),ISBLANK('01_results_input'!G53)),"",IF(AND(HA3='01_results_input'!F53,HB3='01_results_input'!G53),pts_group_toto+pts_group_exact_bonus,IF(OR(AND(HA3&gt;HB3,'01_results_input'!F53&gt;'01_results_input'!G53),AND(HA3&lt;HB3,'01_results_input'!F53&lt;'01_results_input'!G53),AND(HA3=HB3,'01_results_input'!F53='01_results_input'!G53)),pts_group_toto,0)))</f>
      </c>
      <c r="ME3">
        <f>IF(OR(ISBLANK(HE3),ISBLANK(HF3),ISBLANK('01_results_input'!F54),ISBLANK('01_results_input'!G54)),"",IF(AND(HE3='01_results_input'!F54,HF3='01_results_input'!G54),pts_group_toto+pts_group_exact_bonus,IF(OR(AND(HE3&gt;HF3,'01_results_input'!F54&gt;'01_results_input'!G54),AND(HE3&lt;HF3,'01_results_input'!F54&lt;'01_results_input'!G54),AND(HE3=HF3,'01_results_input'!F54='01_results_input'!G54)),pts_group_toto,0)))</f>
      </c>
      <c r="MF3">
        <f>IF(OR(ISBLANK(HI3),ISBLANK(HJ3),ISBLANK('01_results_input'!F55),ISBLANK('01_results_input'!G55)),"",IF(AND(HI3='01_results_input'!F55,HJ3='01_results_input'!G55),pts_group_toto+pts_group_exact_bonus,IF(OR(AND(HI3&gt;HJ3,'01_results_input'!F55&gt;'01_results_input'!G55),AND(HI3&lt;HJ3,'01_results_input'!F55&lt;'01_results_input'!G55),AND(HI3=HJ3,'01_results_input'!F55='01_results_input'!G55)),pts_group_toto,0)))</f>
      </c>
      <c r="MG3">
        <f>IF(OR(ISBLANK(HM3),ISBLANK(HN3),ISBLANK('01_results_input'!F56),ISBLANK('01_results_input'!G56)),"",IF(AND(HM3='01_results_input'!F56,HN3='01_results_input'!G56),pts_group_toto+pts_group_exact_bonus,IF(OR(AND(HM3&gt;HN3,'01_results_input'!F56&gt;'01_results_input'!G56),AND(HM3&lt;HN3,'01_results_input'!F56&lt;'01_results_input'!G56),AND(HM3=HN3,'01_results_input'!F56='01_results_input'!G56)),pts_group_toto,0)))</f>
      </c>
      <c r="MH3">
        <f>IF(OR(ISBLANK(HQ3),ISBLANK(HR3),ISBLANK('01_results_input'!F57),ISBLANK('01_results_input'!G57)),"",IF(AND(HQ3='01_results_input'!F57,HR3='01_results_input'!G57),pts_group_toto+pts_group_exact_bonus,IF(OR(AND(HQ3&gt;HR3,'01_results_input'!F57&gt;'01_results_input'!G57),AND(HQ3&lt;HR3,'01_results_input'!F57&lt;'01_results_input'!G57),AND(HQ3=HR3,'01_results_input'!F57='01_results_input'!G57)),pts_group_toto,0)))</f>
      </c>
      <c r="MI3">
        <f>IF(OR(ISBLANK(HU3),ISBLANK(HV3),ISBLANK('01_results_input'!F58),ISBLANK('01_results_input'!G58)),"",IF(AND(HU3='01_results_input'!F58,HV3='01_results_input'!G58),pts_group_toto+pts_group_exact_bonus,IF(OR(AND(HU3&gt;HV3,'01_results_input'!F58&gt;'01_results_input'!G58),AND(HU3&lt;HV3,'01_results_input'!F58&lt;'01_results_input'!G58),AND(HU3=HV3,'01_results_input'!F58='01_results_input'!G58)),pts_group_toto,0)))</f>
      </c>
      <c r="MJ3">
        <f>IF(OR(ISBLANK(HY3),ISBLANK(HZ3),ISBLANK('01_results_input'!F59),ISBLANK('01_results_input'!G59)),"",IF(AND(HY3='01_results_input'!F59,HZ3='01_results_input'!G59),pts_group_toto+pts_group_exact_bonus,IF(OR(AND(HY3&gt;HZ3,'01_results_input'!F59&gt;'01_results_input'!G59),AND(HY3&lt;HZ3,'01_results_input'!F59&lt;'01_results_input'!G59),AND(HY3=HZ3,'01_results_input'!F59='01_results_input'!G59)),pts_group_toto,0)))</f>
      </c>
      <c r="MK3">
        <f>IF(OR(ISBLANK(IC3),ISBLANK(ID3),ISBLANK('01_results_input'!F60),ISBLANK('01_results_input'!G60)),"",IF(AND(IC3='01_results_input'!F60,ID3='01_results_input'!G60),pts_group_toto+pts_group_exact_bonus,IF(OR(AND(IC3&gt;ID3,'01_results_input'!F60&gt;'01_results_input'!G60),AND(IC3&lt;ID3,'01_results_input'!F60&lt;'01_results_input'!G60),AND(IC3=ID3,'01_results_input'!F60='01_results_input'!G60)),pts_group_toto,0)))</f>
      </c>
      <c r="ML3">
        <f>IF(OR(ISBLANK(IG3),ISBLANK(IH3),ISBLANK('01_results_input'!F61),ISBLANK('01_results_input'!G61)),"",IF(AND(IG3='01_results_input'!F61,IH3='01_results_input'!G61),pts_group_toto+pts_group_exact_bonus,IF(OR(AND(IG3&gt;IH3,'01_results_input'!F61&gt;'01_results_input'!G61),AND(IG3&lt;IH3,'01_results_input'!F61&lt;'01_results_input'!G61),AND(IG3=IH3,'01_results_input'!F61='01_results_input'!G61)),pts_group_toto,0)))</f>
      </c>
      <c r="MM3">
        <f>IF(OR(ISBLANK(IK3),ISBLANK(IL3),ISBLANK('01_results_input'!F62),ISBLANK('01_results_input'!G62)),"",IF(AND(IK3='01_results_input'!F62,IL3='01_results_input'!G62),pts_group_toto+pts_group_exact_bonus,IF(OR(AND(IK3&gt;IL3,'01_results_input'!F62&gt;'01_results_input'!G62),AND(IK3&lt;IL3,'01_results_input'!F62&lt;'01_results_input'!G62),AND(IK3=IL3,'01_results_input'!F62='01_results_input'!G62)),pts_group_toto,0)))</f>
      </c>
      <c r="MN3">
        <f>IF(OR(ISBLANK(IO3),ISBLANK(IP3),ISBLANK('01_results_input'!F63),ISBLANK('01_results_input'!G63)),"",IF(AND(IO3='01_results_input'!F63,IP3='01_results_input'!G63),pts_group_toto+pts_group_exact_bonus,IF(OR(AND(IO3&gt;IP3,'01_results_input'!F63&gt;'01_results_input'!G63),AND(IO3&lt;IP3,'01_results_input'!F63&lt;'01_results_input'!G63),AND(IO3=IP3,'01_results_input'!F63='01_results_input'!G63)),pts_group_toto,0)))</f>
      </c>
      <c r="MO3">
        <f>IF(OR(ISBLANK(IS3),ISBLANK(IT3),ISBLANK('01_results_input'!F64),ISBLANK('01_results_input'!G64)),"",IF(AND(IS3='01_results_input'!F64,IT3='01_results_input'!G64),pts_group_toto+pts_group_exact_bonus,IF(OR(AND(IS3&gt;IT3,'01_results_input'!F64&gt;'01_results_input'!G64),AND(IS3&lt;IT3,'01_results_input'!F64&lt;'01_results_input'!G64),AND(IS3=IT3,'01_results_input'!F64='01_results_input'!G64)),pts_group_toto,0)))</f>
      </c>
      <c r="MP3">
        <f>IF(OR(ISBLANK(IW3),ISBLANK(IX3),ISBLANK('01_results_input'!F65),ISBLANK('01_results_input'!G65)),"",IF(AND(IW3='01_results_input'!F65,IX3='01_results_input'!G65),pts_group_toto+pts_group_exact_bonus,IF(OR(AND(IW3&gt;IX3,'01_results_input'!F65&gt;'01_results_input'!G65),AND(IW3&lt;IX3,'01_results_input'!F65&lt;'01_results_input'!G65),AND(IW3=IX3,'01_results_input'!F65='01_results_input'!G65)),pts_group_toto,0)))</f>
      </c>
      <c r="MQ3">
        <f>IF(OR(ISBLANK(JA3),ISBLANK(JB3),ISBLANK('01_results_input'!F66),ISBLANK('01_results_input'!G66)),"",IF(AND(JA3='01_results_input'!F66,JB3='01_results_input'!G66),pts_group_toto+pts_group_exact_bonus,IF(OR(AND(JA3&gt;JB3,'01_results_input'!F66&gt;'01_results_input'!G66),AND(JA3&lt;JB3,'01_results_input'!F66&lt;'01_results_input'!G66),AND(JA3=JB3,'01_results_input'!F66='01_results_input'!G66)),pts_group_toto,0)))</f>
      </c>
      <c r="MR3">
        <f>IF(OR(ISBLANK(JE3),ISBLANK(JF3),ISBLANK('01_results_input'!F67),ISBLANK('01_results_input'!G67)),"",IF(AND(JE3='01_results_input'!F67,JF3='01_results_input'!G67),pts_group_toto+pts_group_exact_bonus,IF(OR(AND(JE3&gt;JF3,'01_results_input'!F67&gt;'01_results_input'!G67),AND(JE3&lt;JF3,'01_results_input'!F67&lt;'01_results_input'!G67),AND(JE3=JF3,'01_results_input'!F67='01_results_input'!G67)),pts_group_toto,0)))</f>
      </c>
      <c r="MS3">
        <f>IF(OR(ISBLANK(JI3),ISBLANK(JJ3),ISBLANK('01_results_input'!F68),ISBLANK('01_results_input'!G68)),"",IF(AND(JI3='01_results_input'!F68,JJ3='01_results_input'!G68),pts_group_toto+pts_group_exact_bonus,IF(OR(AND(JI3&gt;JJ3,'01_results_input'!F68&gt;'01_results_input'!G68),AND(JI3&lt;JJ3,'01_results_input'!F68&lt;'01_results_input'!G68),AND(JI3=JJ3,'01_results_input'!F68='01_results_input'!G68)),pts_group_toto,0)))</f>
      </c>
      <c r="MT3">
        <f>IF(OR(ISBLANK(JM3),ISBLANK(JN3),ISBLANK('01_results_input'!F69),ISBLANK('01_results_input'!G69)),"",IF(AND(JM3='01_results_input'!F69,JN3='01_results_input'!G69),pts_group_toto+pts_group_exact_bonus,IF(OR(AND(JM3&gt;JN3,'01_results_input'!F69&gt;'01_results_input'!G69),AND(JM3&lt;JN3,'01_results_input'!F69&lt;'01_results_input'!G69),AND(JM3=JN3,'01_results_input'!F69='01_results_input'!G69)),pts_group_toto,0)))</f>
      </c>
      <c r="MU3">
        <f>IF(OR(ISBLANK(JQ3),ISBLANK(JR3),ISBLANK('01_results_input'!F70),ISBLANK('01_results_input'!G70)),"",IF(AND(JQ3='01_results_input'!F70,JR3='01_results_input'!G70),pts_group_toto+pts_group_exact_bonus,IF(OR(AND(JQ3&gt;JR3,'01_results_input'!F70&gt;'01_results_input'!G70),AND(JQ3&lt;JR3,'01_results_input'!F70&lt;'01_results_input'!G70),AND(JQ3=JR3,'01_results_input'!F70='01_results_input'!G70)),pts_group_toto,0)))</f>
      </c>
      <c r="MV3">
        <f>IF(OR(ISBLANK(JU3),ISBLANK(JV3),ISBLANK('01_results_input'!F71),ISBLANK('01_results_input'!G71)),"",IF(AND(JU3='01_results_input'!F71,JV3='01_results_input'!G71),pts_group_toto+pts_group_exact_bonus,IF(OR(AND(JU3&gt;JV3,'01_results_input'!F71&gt;'01_results_input'!G71),AND(JU3&lt;JV3,'01_results_input'!F71&lt;'01_results_input'!G71),AND(JU3=JV3,'01_results_input'!F71='01_results_input'!G71)),pts_group_toto,0)))</f>
      </c>
      <c r="MW3">
        <f>IF(OR(ISBLANK(JY3),ISBLANK(JZ3),ISBLANK('01_results_input'!F72),ISBLANK('01_results_input'!G72)),"",IF(AND(JY3='01_results_input'!F72,JZ3='01_results_input'!G72),pts_group_toto+pts_group_exact_bonus,IF(OR(AND(JY3&gt;JZ3,'01_results_input'!F72&gt;'01_results_input'!G72),AND(JY3&lt;JZ3,'01_results_input'!F72&lt;'01_results_input'!G72),AND(JY3=JZ3,'01_results_input'!F72='01_results_input'!G72)),pts_group_toto,0)))</f>
      </c>
      <c r="MX3">
        <f>IF(OR(ISBLANK(KC3),ISBLANK(KD3),ISBLANK('01_results_input'!F73),ISBLANK('01_results_input'!G73)),"",IF(AND(KC3='01_results_input'!F73,KD3='01_results_input'!G73),pts_group_toto+pts_group_exact_bonus,IF(OR(AND(KC3&gt;KD3,'01_results_input'!F73&gt;'01_results_input'!G73),AND(KC3&lt;KD3,'01_results_input'!F73&lt;'01_results_input'!G73),AND(KC3=KD3,'01_results_input'!F73='01_results_input'!G73)),pts_group_toto,0)))</f>
      </c>
      <c r="MY3">
        <f>SUM(KE3:MX3)</f>
      </c>
    </row>
    <row r="4" spans="1:363" x14ac:dyDescent="0.25">
      <c r="A4" t="s">
        <v>558</v>
      </c>
      <c r="B4" t="s">
        <v>559</v>
      </c>
      <c r="C4" t="s">
        <v>26</v>
      </c>
      <c r="D4" t="s">
        <v>27</v>
      </c>
      <c r="E4">
        <v>1</v>
      </c>
      <c r="F4">
        <v>0</v>
      </c>
      <c r="G4" t="s">
        <v>29</v>
      </c>
      <c r="H4" t="s">
        <v>30</v>
      </c>
      <c r="I4">
        <v>3</v>
      </c>
      <c r="J4">
        <v>1</v>
      </c>
      <c r="K4" t="s">
        <v>26</v>
      </c>
      <c r="L4" t="s">
        <v>29</v>
      </c>
      <c r="M4">
        <v>2</v>
      </c>
      <c r="N4">
        <v>0</v>
      </c>
      <c r="O4" t="s">
        <v>30</v>
      </c>
      <c r="P4" t="s">
        <v>27</v>
      </c>
      <c r="Q4">
        <v>3</v>
      </c>
      <c r="R4">
        <v>1</v>
      </c>
      <c r="S4" t="s">
        <v>30</v>
      </c>
      <c r="T4" t="s">
        <v>26</v>
      </c>
      <c r="U4">
        <v>1</v>
      </c>
      <c r="V4">
        <v>1</v>
      </c>
      <c r="W4" t="s">
        <v>27</v>
      </c>
      <c r="X4" t="s">
        <v>29</v>
      </c>
      <c r="Y4">
        <v>3</v>
      </c>
      <c r="Z4">
        <v>2</v>
      </c>
      <c r="AA4" t="s">
        <v>37</v>
      </c>
      <c r="AB4" t="s">
        <v>38</v>
      </c>
      <c r="AC4">
        <v>1</v>
      </c>
      <c r="AD4">
        <v>1</v>
      </c>
      <c r="AE4" t="s">
        <v>40</v>
      </c>
      <c r="AF4" t="s">
        <v>41</v>
      </c>
      <c r="AG4">
        <v>2</v>
      </c>
      <c r="AH4">
        <v>0</v>
      </c>
      <c r="AI4" t="s">
        <v>37</v>
      </c>
      <c r="AJ4" t="s">
        <v>40</v>
      </c>
      <c r="AK4">
        <v>3</v>
      </c>
      <c r="AL4">
        <v>2</v>
      </c>
      <c r="AM4" t="s">
        <v>41</v>
      </c>
      <c r="AN4" t="s">
        <v>38</v>
      </c>
      <c r="AO4">
        <v>3</v>
      </c>
      <c r="AP4">
        <v>0</v>
      </c>
      <c r="AQ4" t="s">
        <v>41</v>
      </c>
      <c r="AR4" t="s">
        <v>37</v>
      </c>
      <c r="AS4">
        <v>0</v>
      </c>
      <c r="AT4">
        <v>0</v>
      </c>
      <c r="AU4" t="s">
        <v>38</v>
      </c>
      <c r="AV4" t="s">
        <v>40</v>
      </c>
      <c r="AW4">
        <v>3</v>
      </c>
      <c r="AX4">
        <v>1</v>
      </c>
      <c r="AY4" t="s">
        <v>48</v>
      </c>
      <c r="AZ4" t="s">
        <v>49</v>
      </c>
      <c r="BA4">
        <v>3</v>
      </c>
      <c r="BB4">
        <v>1</v>
      </c>
      <c r="BC4" t="s">
        <v>51</v>
      </c>
      <c r="BD4" t="s">
        <v>52</v>
      </c>
      <c r="BE4">
        <v>1</v>
      </c>
      <c r="BF4">
        <v>2</v>
      </c>
      <c r="BG4" t="s">
        <v>48</v>
      </c>
      <c r="BH4" t="s">
        <v>51</v>
      </c>
      <c r="BI4">
        <v>0</v>
      </c>
      <c r="BJ4">
        <v>2</v>
      </c>
      <c r="BK4" t="s">
        <v>52</v>
      </c>
      <c r="BL4" t="s">
        <v>49</v>
      </c>
      <c r="BM4">
        <v>2</v>
      </c>
      <c r="BN4">
        <v>1</v>
      </c>
      <c r="BO4" t="s">
        <v>52</v>
      </c>
      <c r="BP4" t="s">
        <v>48</v>
      </c>
      <c r="BQ4">
        <v>1</v>
      </c>
      <c r="BR4">
        <v>1</v>
      </c>
      <c r="BS4" t="s">
        <v>49</v>
      </c>
      <c r="BT4" t="s">
        <v>51</v>
      </c>
      <c r="BU4">
        <v>0</v>
      </c>
      <c r="BV4">
        <v>1</v>
      </c>
      <c r="BW4" t="s">
        <v>59</v>
      </c>
      <c r="BX4" t="s">
        <v>60</v>
      </c>
      <c r="BY4">
        <v>1</v>
      </c>
      <c r="BZ4">
        <v>0</v>
      </c>
      <c r="CA4" t="s">
        <v>62</v>
      </c>
      <c r="CB4" t="s">
        <v>63</v>
      </c>
      <c r="CC4">
        <v>1</v>
      </c>
      <c r="CD4">
        <v>0</v>
      </c>
      <c r="CE4" t="s">
        <v>59</v>
      </c>
      <c r="CF4" t="s">
        <v>62</v>
      </c>
      <c r="CG4">
        <v>3</v>
      </c>
      <c r="CH4">
        <v>2</v>
      </c>
      <c r="CI4" t="s">
        <v>63</v>
      </c>
      <c r="CJ4" t="s">
        <v>60</v>
      </c>
      <c r="CK4">
        <v>2</v>
      </c>
      <c r="CL4">
        <v>0</v>
      </c>
      <c r="CM4" t="s">
        <v>63</v>
      </c>
      <c r="CN4" t="s">
        <v>59</v>
      </c>
      <c r="CO4">
        <v>0</v>
      </c>
      <c r="CP4">
        <v>2</v>
      </c>
      <c r="CQ4" t="s">
        <v>60</v>
      </c>
      <c r="CR4" t="s">
        <v>62</v>
      </c>
      <c r="CS4">
        <v>0</v>
      </c>
      <c r="CT4">
        <v>1</v>
      </c>
      <c r="CU4" t="s">
        <v>70</v>
      </c>
      <c r="CV4" t="s">
        <v>71</v>
      </c>
      <c r="CW4">
        <v>2</v>
      </c>
      <c r="CX4">
        <v>0</v>
      </c>
      <c r="CY4" t="s">
        <v>73</v>
      </c>
      <c r="CZ4" t="s">
        <v>74</v>
      </c>
      <c r="DA4">
        <v>3</v>
      </c>
      <c r="DB4">
        <v>0</v>
      </c>
      <c r="DC4" t="s">
        <v>70</v>
      </c>
      <c r="DD4" t="s">
        <v>73</v>
      </c>
      <c r="DE4">
        <v>0</v>
      </c>
      <c r="DF4">
        <v>2</v>
      </c>
      <c r="DG4" t="s">
        <v>74</v>
      </c>
      <c r="DH4" t="s">
        <v>71</v>
      </c>
      <c r="DI4">
        <v>2</v>
      </c>
      <c r="DJ4">
        <v>2</v>
      </c>
      <c r="DK4" t="s">
        <v>74</v>
      </c>
      <c r="DL4" t="s">
        <v>70</v>
      </c>
      <c r="DM4">
        <v>2</v>
      </c>
      <c r="DN4">
        <v>2</v>
      </c>
      <c r="DO4" t="s">
        <v>71</v>
      </c>
      <c r="DP4" t="s">
        <v>73</v>
      </c>
      <c r="DQ4">
        <v>3</v>
      </c>
      <c r="DR4">
        <v>0</v>
      </c>
      <c r="DS4" t="s">
        <v>81</v>
      </c>
      <c r="DT4" t="s">
        <v>82</v>
      </c>
      <c r="DU4">
        <v>0</v>
      </c>
      <c r="DV4">
        <v>2</v>
      </c>
      <c r="DW4" t="s">
        <v>84</v>
      </c>
      <c r="DX4" t="s">
        <v>85</v>
      </c>
      <c r="DY4">
        <v>3</v>
      </c>
      <c r="DZ4">
        <v>2</v>
      </c>
      <c r="EA4" t="s">
        <v>81</v>
      </c>
      <c r="EB4" t="s">
        <v>84</v>
      </c>
      <c r="EC4">
        <v>0</v>
      </c>
      <c r="ED4">
        <v>1</v>
      </c>
      <c r="EE4" t="s">
        <v>85</v>
      </c>
      <c r="EF4" t="s">
        <v>82</v>
      </c>
      <c r="EG4">
        <v>2</v>
      </c>
      <c r="EH4">
        <v>0</v>
      </c>
      <c r="EI4" t="s">
        <v>85</v>
      </c>
      <c r="EJ4" t="s">
        <v>81</v>
      </c>
      <c r="EK4">
        <v>0</v>
      </c>
      <c r="EL4">
        <v>1</v>
      </c>
      <c r="EM4" t="s">
        <v>82</v>
      </c>
      <c r="EN4" t="s">
        <v>84</v>
      </c>
      <c r="EO4">
        <v>0</v>
      </c>
      <c r="EP4">
        <v>1</v>
      </c>
      <c r="EQ4" t="s">
        <v>92</v>
      </c>
      <c r="ER4" t="s">
        <v>93</v>
      </c>
      <c r="ES4">
        <v>3</v>
      </c>
      <c r="ET4">
        <v>1</v>
      </c>
      <c r="EU4" t="s">
        <v>95</v>
      </c>
      <c r="EV4" t="s">
        <v>96</v>
      </c>
      <c r="EW4">
        <v>2</v>
      </c>
      <c r="EX4">
        <v>1</v>
      </c>
      <c r="EY4" t="s">
        <v>92</v>
      </c>
      <c r="EZ4" t="s">
        <v>95</v>
      </c>
      <c r="FA4">
        <v>3</v>
      </c>
      <c r="FB4">
        <v>0</v>
      </c>
      <c r="FC4" t="s">
        <v>96</v>
      </c>
      <c r="FD4" t="s">
        <v>93</v>
      </c>
      <c r="FE4">
        <v>3</v>
      </c>
      <c r="FF4">
        <v>1</v>
      </c>
      <c r="FG4" t="s">
        <v>96</v>
      </c>
      <c r="FH4" t="s">
        <v>92</v>
      </c>
      <c r="FI4">
        <v>2</v>
      </c>
      <c r="FJ4">
        <v>2</v>
      </c>
      <c r="FK4" t="s">
        <v>93</v>
      </c>
      <c r="FL4" t="s">
        <v>95</v>
      </c>
      <c r="FM4">
        <v>0</v>
      </c>
      <c r="FN4">
        <v>0</v>
      </c>
      <c r="FO4" t="s">
        <v>103</v>
      </c>
      <c r="FP4" t="s">
        <v>104</v>
      </c>
      <c r="FQ4">
        <v>1</v>
      </c>
      <c r="FR4">
        <v>2</v>
      </c>
      <c r="FS4" t="s">
        <v>106</v>
      </c>
      <c r="FT4" t="s">
        <v>107</v>
      </c>
      <c r="FU4">
        <v>2</v>
      </c>
      <c r="FV4">
        <v>2</v>
      </c>
      <c r="FW4" t="s">
        <v>103</v>
      </c>
      <c r="FX4" t="s">
        <v>106</v>
      </c>
      <c r="FY4">
        <v>3</v>
      </c>
      <c r="FZ4">
        <v>2</v>
      </c>
      <c r="GA4" t="s">
        <v>107</v>
      </c>
      <c r="GB4" t="s">
        <v>104</v>
      </c>
      <c r="GC4">
        <v>0</v>
      </c>
      <c r="GD4">
        <v>0</v>
      </c>
      <c r="GE4" t="s">
        <v>107</v>
      </c>
      <c r="GF4" t="s">
        <v>103</v>
      </c>
      <c r="GG4">
        <v>2</v>
      </c>
      <c r="GH4">
        <v>0</v>
      </c>
      <c r="GI4" t="s">
        <v>104</v>
      </c>
      <c r="GJ4" t="s">
        <v>106</v>
      </c>
      <c r="GK4">
        <v>2</v>
      </c>
      <c r="GL4">
        <v>0</v>
      </c>
      <c r="GM4" t="s">
        <v>114</v>
      </c>
      <c r="GN4" t="s">
        <v>115</v>
      </c>
      <c r="GO4">
        <v>1</v>
      </c>
      <c r="GP4">
        <v>0</v>
      </c>
      <c r="GQ4" t="s">
        <v>117</v>
      </c>
      <c r="GR4" t="s">
        <v>118</v>
      </c>
      <c r="GS4">
        <v>0</v>
      </c>
      <c r="GT4">
        <v>2</v>
      </c>
      <c r="GU4" t="s">
        <v>114</v>
      </c>
      <c r="GV4" t="s">
        <v>117</v>
      </c>
      <c r="GW4">
        <v>3</v>
      </c>
      <c r="GX4">
        <v>2</v>
      </c>
      <c r="GY4" t="s">
        <v>118</v>
      </c>
      <c r="GZ4" t="s">
        <v>115</v>
      </c>
      <c r="HA4">
        <v>0</v>
      </c>
      <c r="HB4">
        <v>0</v>
      </c>
      <c r="HC4" t="s">
        <v>118</v>
      </c>
      <c r="HD4" t="s">
        <v>114</v>
      </c>
      <c r="HE4">
        <v>3</v>
      </c>
      <c r="HF4">
        <v>2</v>
      </c>
      <c r="HG4" t="s">
        <v>115</v>
      </c>
      <c r="HH4" t="s">
        <v>117</v>
      </c>
      <c r="HI4">
        <v>2</v>
      </c>
      <c r="HJ4">
        <v>0</v>
      </c>
      <c r="HK4" t="s">
        <v>125</v>
      </c>
      <c r="HL4" t="s">
        <v>126</v>
      </c>
      <c r="HM4">
        <v>1</v>
      </c>
      <c r="HN4">
        <v>1</v>
      </c>
      <c r="HO4" t="s">
        <v>128</v>
      </c>
      <c r="HP4" t="s">
        <v>129</v>
      </c>
      <c r="HQ4">
        <v>1</v>
      </c>
      <c r="HR4">
        <v>2</v>
      </c>
      <c r="HS4" t="s">
        <v>125</v>
      </c>
      <c r="HT4" t="s">
        <v>128</v>
      </c>
      <c r="HU4">
        <v>1</v>
      </c>
      <c r="HV4">
        <v>0</v>
      </c>
      <c r="HW4" t="s">
        <v>129</v>
      </c>
      <c r="HX4" t="s">
        <v>126</v>
      </c>
      <c r="HY4">
        <v>2</v>
      </c>
      <c r="HZ4">
        <v>2</v>
      </c>
      <c r="IA4" t="s">
        <v>129</v>
      </c>
      <c r="IB4" t="s">
        <v>125</v>
      </c>
      <c r="IC4">
        <v>3</v>
      </c>
      <c r="ID4">
        <v>2</v>
      </c>
      <c r="IE4" t="s">
        <v>126</v>
      </c>
      <c r="IF4" t="s">
        <v>128</v>
      </c>
      <c r="IG4">
        <v>2</v>
      </c>
      <c r="IH4">
        <v>1</v>
      </c>
      <c r="II4" t="s">
        <v>136</v>
      </c>
      <c r="IJ4" t="s">
        <v>137</v>
      </c>
      <c r="IK4">
        <v>3</v>
      </c>
      <c r="IL4">
        <v>2</v>
      </c>
      <c r="IM4" t="s">
        <v>139</v>
      </c>
      <c r="IN4" t="s">
        <v>140</v>
      </c>
      <c r="IO4">
        <v>3</v>
      </c>
      <c r="IP4">
        <v>0</v>
      </c>
      <c r="IQ4" t="s">
        <v>136</v>
      </c>
      <c r="IR4" t="s">
        <v>139</v>
      </c>
      <c r="IS4">
        <v>1</v>
      </c>
      <c r="IT4">
        <v>1</v>
      </c>
      <c r="IU4" t="s">
        <v>140</v>
      </c>
      <c r="IV4" t="s">
        <v>137</v>
      </c>
      <c r="IW4">
        <v>1</v>
      </c>
      <c r="IX4">
        <v>0</v>
      </c>
      <c r="IY4" t="s">
        <v>140</v>
      </c>
      <c r="IZ4" t="s">
        <v>136</v>
      </c>
      <c r="JA4">
        <v>1</v>
      </c>
      <c r="JB4">
        <v>0</v>
      </c>
      <c r="JC4" t="s">
        <v>137</v>
      </c>
      <c r="JD4" t="s">
        <v>139</v>
      </c>
      <c r="JE4">
        <v>0</v>
      </c>
      <c r="JF4">
        <v>0</v>
      </c>
      <c r="JG4" t="s">
        <v>147</v>
      </c>
      <c r="JH4" t="s">
        <v>148</v>
      </c>
      <c r="JI4">
        <v>0</v>
      </c>
      <c r="JJ4">
        <v>0</v>
      </c>
      <c r="JK4" t="s">
        <v>150</v>
      </c>
      <c r="JL4" t="s">
        <v>151</v>
      </c>
      <c r="JM4">
        <v>0</v>
      </c>
      <c r="JN4">
        <v>1</v>
      </c>
      <c r="JO4" t="s">
        <v>147</v>
      </c>
      <c r="JP4" t="s">
        <v>150</v>
      </c>
      <c r="JQ4">
        <v>1</v>
      </c>
      <c r="JR4">
        <v>0</v>
      </c>
      <c r="JS4" t="s">
        <v>151</v>
      </c>
      <c r="JT4" t="s">
        <v>148</v>
      </c>
      <c r="JU4">
        <v>2</v>
      </c>
      <c r="JV4">
        <v>0</v>
      </c>
      <c r="JW4" t="s">
        <v>151</v>
      </c>
      <c r="JX4" t="s">
        <v>147</v>
      </c>
      <c r="JY4">
        <v>0</v>
      </c>
      <c r="JZ4">
        <v>0</v>
      </c>
      <c r="KA4" t="s">
        <v>148</v>
      </c>
      <c r="KB4" t="s">
        <v>150</v>
      </c>
      <c r="KC4">
        <v>0</v>
      </c>
      <c r="KD4">
        <v>1</v>
      </c>
      <c r="KE4">
        <f>IF(OR(ISBLANK(E4),ISBLANK(F4),ISBLANK('01_results_input'!F2),ISBLANK('01_results_input'!G2)),"",IF(AND(E4='01_results_input'!F2,F4='01_results_input'!G2),pts_group_toto+pts_group_exact_bonus,IF(OR(AND(E4&gt;F4,'01_results_input'!F2&gt;'01_results_input'!G2),AND(E4&lt;F4,'01_results_input'!F2&lt;'01_results_input'!G2),AND(E4=F4,'01_results_input'!F2='01_results_input'!G2)),pts_group_toto,0)))</f>
      </c>
      <c r="KF4">
        <f>IF(OR(ISBLANK(I4),ISBLANK(J4),ISBLANK('01_results_input'!F3),ISBLANK('01_results_input'!G3)),"",IF(AND(I4='01_results_input'!F3,J4='01_results_input'!G3),pts_group_toto+pts_group_exact_bonus,IF(OR(AND(I4&gt;J4,'01_results_input'!F3&gt;'01_results_input'!G3),AND(I4&lt;J4,'01_results_input'!F3&lt;'01_results_input'!G3),AND(I4=J4,'01_results_input'!F3='01_results_input'!G3)),pts_group_toto,0)))</f>
      </c>
      <c r="KG4">
        <f>IF(OR(ISBLANK(M4),ISBLANK(N4),ISBLANK('01_results_input'!F4),ISBLANK('01_results_input'!G4)),"",IF(AND(M4='01_results_input'!F4,N4='01_results_input'!G4),pts_group_toto+pts_group_exact_bonus,IF(OR(AND(M4&gt;N4,'01_results_input'!F4&gt;'01_results_input'!G4),AND(M4&lt;N4,'01_results_input'!F4&lt;'01_results_input'!G4),AND(M4=N4,'01_results_input'!F4='01_results_input'!G4)),pts_group_toto,0)))</f>
      </c>
      <c r="KH4">
        <f>IF(OR(ISBLANK(Q4),ISBLANK(R4),ISBLANK('01_results_input'!F5),ISBLANK('01_results_input'!G5)),"",IF(AND(Q4='01_results_input'!F5,R4='01_results_input'!G5),pts_group_toto+pts_group_exact_bonus,IF(OR(AND(Q4&gt;R4,'01_results_input'!F5&gt;'01_results_input'!G5),AND(Q4&lt;R4,'01_results_input'!F5&lt;'01_results_input'!G5),AND(Q4=R4,'01_results_input'!F5='01_results_input'!G5)),pts_group_toto,0)))</f>
      </c>
      <c r="KI4">
        <f>IF(OR(ISBLANK(U4),ISBLANK(V4),ISBLANK('01_results_input'!F6),ISBLANK('01_results_input'!G6)),"",IF(AND(U4='01_results_input'!F6,V4='01_results_input'!G6),pts_group_toto+pts_group_exact_bonus,IF(OR(AND(U4&gt;V4,'01_results_input'!F6&gt;'01_results_input'!G6),AND(U4&lt;V4,'01_results_input'!F6&lt;'01_results_input'!G6),AND(U4=V4,'01_results_input'!F6='01_results_input'!G6)),pts_group_toto,0)))</f>
      </c>
      <c r="KJ4">
        <f>IF(OR(ISBLANK(Y4),ISBLANK(Z4),ISBLANK('01_results_input'!F7),ISBLANK('01_results_input'!G7)),"",IF(AND(Y4='01_results_input'!F7,Z4='01_results_input'!G7),pts_group_toto+pts_group_exact_bonus,IF(OR(AND(Y4&gt;Z4,'01_results_input'!F7&gt;'01_results_input'!G7),AND(Y4&lt;Z4,'01_results_input'!F7&lt;'01_results_input'!G7),AND(Y4=Z4,'01_results_input'!F7='01_results_input'!G7)),pts_group_toto,0)))</f>
      </c>
      <c r="KK4">
        <f>IF(OR(ISBLANK(AC4),ISBLANK(AD4),ISBLANK('01_results_input'!F8),ISBLANK('01_results_input'!G8)),"",IF(AND(AC4='01_results_input'!F8,AD4='01_results_input'!G8),pts_group_toto+pts_group_exact_bonus,IF(OR(AND(AC4&gt;AD4,'01_results_input'!F8&gt;'01_results_input'!G8),AND(AC4&lt;AD4,'01_results_input'!F8&lt;'01_results_input'!G8),AND(AC4=AD4,'01_results_input'!F8='01_results_input'!G8)),pts_group_toto,0)))</f>
      </c>
      <c r="KL4">
        <f>IF(OR(ISBLANK(AG4),ISBLANK(AH4),ISBLANK('01_results_input'!F9),ISBLANK('01_results_input'!G9)),"",IF(AND(AG4='01_results_input'!F9,AH4='01_results_input'!G9),pts_group_toto+pts_group_exact_bonus,IF(OR(AND(AG4&gt;AH4,'01_results_input'!F9&gt;'01_results_input'!G9),AND(AG4&lt;AH4,'01_results_input'!F9&lt;'01_results_input'!G9),AND(AG4=AH4,'01_results_input'!F9='01_results_input'!G9)),pts_group_toto,0)))</f>
      </c>
      <c r="KM4">
        <f>IF(OR(ISBLANK(AK4),ISBLANK(AL4),ISBLANK('01_results_input'!F10),ISBLANK('01_results_input'!G10)),"",IF(AND(AK4='01_results_input'!F10,AL4='01_results_input'!G10),pts_group_toto+pts_group_exact_bonus,IF(OR(AND(AK4&gt;AL4,'01_results_input'!F10&gt;'01_results_input'!G10),AND(AK4&lt;AL4,'01_results_input'!F10&lt;'01_results_input'!G10),AND(AK4=AL4,'01_results_input'!F10='01_results_input'!G10)),pts_group_toto,0)))</f>
      </c>
      <c r="KN4">
        <f>IF(OR(ISBLANK(AO4),ISBLANK(AP4),ISBLANK('01_results_input'!F11),ISBLANK('01_results_input'!G11)),"",IF(AND(AO4='01_results_input'!F11,AP4='01_results_input'!G11),pts_group_toto+pts_group_exact_bonus,IF(OR(AND(AO4&gt;AP4,'01_results_input'!F11&gt;'01_results_input'!G11),AND(AO4&lt;AP4,'01_results_input'!F11&lt;'01_results_input'!G11),AND(AO4=AP4,'01_results_input'!F11='01_results_input'!G11)),pts_group_toto,0)))</f>
      </c>
      <c r="KO4">
        <f>IF(OR(ISBLANK(AS4),ISBLANK(AT4),ISBLANK('01_results_input'!F12),ISBLANK('01_results_input'!G12)),"",IF(AND(AS4='01_results_input'!F12,AT4='01_results_input'!G12),pts_group_toto+pts_group_exact_bonus,IF(OR(AND(AS4&gt;AT4,'01_results_input'!F12&gt;'01_results_input'!G12),AND(AS4&lt;AT4,'01_results_input'!F12&lt;'01_results_input'!G12),AND(AS4=AT4,'01_results_input'!F12='01_results_input'!G12)),pts_group_toto,0)))</f>
      </c>
      <c r="KP4">
        <f>IF(OR(ISBLANK(AW4),ISBLANK(AX4),ISBLANK('01_results_input'!F13),ISBLANK('01_results_input'!G13)),"",IF(AND(AW4='01_results_input'!F13,AX4='01_results_input'!G13),pts_group_toto+pts_group_exact_bonus,IF(OR(AND(AW4&gt;AX4,'01_results_input'!F13&gt;'01_results_input'!G13),AND(AW4&lt;AX4,'01_results_input'!F13&lt;'01_results_input'!G13),AND(AW4=AX4,'01_results_input'!F13='01_results_input'!G13)),pts_group_toto,0)))</f>
      </c>
      <c r="KQ4">
        <f>IF(OR(ISBLANK(BA4),ISBLANK(BB4),ISBLANK('01_results_input'!F14),ISBLANK('01_results_input'!G14)),"",IF(AND(BA4='01_results_input'!F14,BB4='01_results_input'!G14),pts_group_toto+pts_group_exact_bonus,IF(OR(AND(BA4&gt;BB4,'01_results_input'!F14&gt;'01_results_input'!G14),AND(BA4&lt;BB4,'01_results_input'!F14&lt;'01_results_input'!G14),AND(BA4=BB4,'01_results_input'!F14='01_results_input'!G14)),pts_group_toto,0)))</f>
      </c>
      <c r="KR4">
        <f>IF(OR(ISBLANK(BE4),ISBLANK(BF4),ISBLANK('01_results_input'!F15),ISBLANK('01_results_input'!G15)),"",IF(AND(BE4='01_results_input'!F15,BF4='01_results_input'!G15),pts_group_toto+pts_group_exact_bonus,IF(OR(AND(BE4&gt;BF4,'01_results_input'!F15&gt;'01_results_input'!G15),AND(BE4&lt;BF4,'01_results_input'!F15&lt;'01_results_input'!G15),AND(BE4=BF4,'01_results_input'!F15='01_results_input'!G15)),pts_group_toto,0)))</f>
      </c>
      <c r="KS4">
        <f>IF(OR(ISBLANK(BI4),ISBLANK(BJ4),ISBLANK('01_results_input'!F16),ISBLANK('01_results_input'!G16)),"",IF(AND(BI4='01_results_input'!F16,BJ4='01_results_input'!G16),pts_group_toto+pts_group_exact_bonus,IF(OR(AND(BI4&gt;BJ4,'01_results_input'!F16&gt;'01_results_input'!G16),AND(BI4&lt;BJ4,'01_results_input'!F16&lt;'01_results_input'!G16),AND(BI4=BJ4,'01_results_input'!F16='01_results_input'!G16)),pts_group_toto,0)))</f>
      </c>
      <c r="KT4">
        <f>IF(OR(ISBLANK(BM4),ISBLANK(BN4),ISBLANK('01_results_input'!F17),ISBLANK('01_results_input'!G17)),"",IF(AND(BM4='01_results_input'!F17,BN4='01_results_input'!G17),pts_group_toto+pts_group_exact_bonus,IF(OR(AND(BM4&gt;BN4,'01_results_input'!F17&gt;'01_results_input'!G17),AND(BM4&lt;BN4,'01_results_input'!F17&lt;'01_results_input'!G17),AND(BM4=BN4,'01_results_input'!F17='01_results_input'!G17)),pts_group_toto,0)))</f>
      </c>
      <c r="KU4">
        <f>IF(OR(ISBLANK(BQ4),ISBLANK(BR4),ISBLANK('01_results_input'!F18),ISBLANK('01_results_input'!G18)),"",IF(AND(BQ4='01_results_input'!F18,BR4='01_results_input'!G18),pts_group_toto+pts_group_exact_bonus,IF(OR(AND(BQ4&gt;BR4,'01_results_input'!F18&gt;'01_results_input'!G18),AND(BQ4&lt;BR4,'01_results_input'!F18&lt;'01_results_input'!G18),AND(BQ4=BR4,'01_results_input'!F18='01_results_input'!G18)),pts_group_toto,0)))</f>
      </c>
      <c r="KV4">
        <f>IF(OR(ISBLANK(BU4),ISBLANK(BV4),ISBLANK('01_results_input'!F19),ISBLANK('01_results_input'!G19)),"",IF(AND(BU4='01_results_input'!F19,BV4='01_results_input'!G19),pts_group_toto+pts_group_exact_bonus,IF(OR(AND(BU4&gt;BV4,'01_results_input'!F19&gt;'01_results_input'!G19),AND(BU4&lt;BV4,'01_results_input'!F19&lt;'01_results_input'!G19),AND(BU4=BV4,'01_results_input'!F19='01_results_input'!G19)),pts_group_toto,0)))</f>
      </c>
      <c r="KW4">
        <f>IF(OR(ISBLANK(BY4),ISBLANK(BZ4),ISBLANK('01_results_input'!F20),ISBLANK('01_results_input'!G20)),"",IF(AND(BY4='01_results_input'!F20,BZ4='01_results_input'!G20),pts_group_toto+pts_group_exact_bonus,IF(OR(AND(BY4&gt;BZ4,'01_results_input'!F20&gt;'01_results_input'!G20),AND(BY4&lt;BZ4,'01_results_input'!F20&lt;'01_results_input'!G20),AND(BY4=BZ4,'01_results_input'!F20='01_results_input'!G20)),pts_group_toto,0)))</f>
      </c>
      <c r="KX4">
        <f>IF(OR(ISBLANK(CC4),ISBLANK(CD4),ISBLANK('01_results_input'!F21),ISBLANK('01_results_input'!G21)),"",IF(AND(CC4='01_results_input'!F21,CD4='01_results_input'!G21),pts_group_toto+pts_group_exact_bonus,IF(OR(AND(CC4&gt;CD4,'01_results_input'!F21&gt;'01_results_input'!G21),AND(CC4&lt;CD4,'01_results_input'!F21&lt;'01_results_input'!G21),AND(CC4=CD4,'01_results_input'!F21='01_results_input'!G21)),pts_group_toto,0)))</f>
      </c>
      <c r="KY4">
        <f>IF(OR(ISBLANK(CG4),ISBLANK(CH4),ISBLANK('01_results_input'!F22),ISBLANK('01_results_input'!G22)),"",IF(AND(CG4='01_results_input'!F22,CH4='01_results_input'!G22),pts_group_toto+pts_group_exact_bonus,IF(OR(AND(CG4&gt;CH4,'01_results_input'!F22&gt;'01_results_input'!G22),AND(CG4&lt;CH4,'01_results_input'!F22&lt;'01_results_input'!G22),AND(CG4=CH4,'01_results_input'!F22='01_results_input'!G22)),pts_group_toto,0)))</f>
      </c>
      <c r="KZ4">
        <f>IF(OR(ISBLANK(CK4),ISBLANK(CL4),ISBLANK('01_results_input'!F23),ISBLANK('01_results_input'!G23)),"",IF(AND(CK4='01_results_input'!F23,CL4='01_results_input'!G23),pts_group_toto+pts_group_exact_bonus,IF(OR(AND(CK4&gt;CL4,'01_results_input'!F23&gt;'01_results_input'!G23),AND(CK4&lt;CL4,'01_results_input'!F23&lt;'01_results_input'!G23),AND(CK4=CL4,'01_results_input'!F23='01_results_input'!G23)),pts_group_toto,0)))</f>
      </c>
      <c r="LA4">
        <f>IF(OR(ISBLANK(CO4),ISBLANK(CP4),ISBLANK('01_results_input'!F24),ISBLANK('01_results_input'!G24)),"",IF(AND(CO4='01_results_input'!F24,CP4='01_results_input'!G24),pts_group_toto+pts_group_exact_bonus,IF(OR(AND(CO4&gt;CP4,'01_results_input'!F24&gt;'01_results_input'!G24),AND(CO4&lt;CP4,'01_results_input'!F24&lt;'01_results_input'!G24),AND(CO4=CP4,'01_results_input'!F24='01_results_input'!G24)),pts_group_toto,0)))</f>
      </c>
      <c r="LB4">
        <f>IF(OR(ISBLANK(CS4),ISBLANK(CT4),ISBLANK('01_results_input'!F25),ISBLANK('01_results_input'!G25)),"",IF(AND(CS4='01_results_input'!F25,CT4='01_results_input'!G25),pts_group_toto+pts_group_exact_bonus,IF(OR(AND(CS4&gt;CT4,'01_results_input'!F25&gt;'01_results_input'!G25),AND(CS4&lt;CT4,'01_results_input'!F25&lt;'01_results_input'!G25),AND(CS4=CT4,'01_results_input'!F25='01_results_input'!G25)),pts_group_toto,0)))</f>
      </c>
      <c r="LC4">
        <f>IF(OR(ISBLANK(CW4),ISBLANK(CX4),ISBLANK('01_results_input'!F26),ISBLANK('01_results_input'!G26)),"",IF(AND(CW4='01_results_input'!F26,CX4='01_results_input'!G26),pts_group_toto+pts_group_exact_bonus,IF(OR(AND(CW4&gt;CX4,'01_results_input'!F26&gt;'01_results_input'!G26),AND(CW4&lt;CX4,'01_results_input'!F26&lt;'01_results_input'!G26),AND(CW4=CX4,'01_results_input'!F26='01_results_input'!G26)),pts_group_toto,0)))</f>
      </c>
      <c r="LD4">
        <f>IF(OR(ISBLANK(DA4),ISBLANK(DB4),ISBLANK('01_results_input'!F27),ISBLANK('01_results_input'!G27)),"",IF(AND(DA4='01_results_input'!F27,DB4='01_results_input'!G27),pts_group_toto+pts_group_exact_bonus,IF(OR(AND(DA4&gt;DB4,'01_results_input'!F27&gt;'01_results_input'!G27),AND(DA4&lt;DB4,'01_results_input'!F27&lt;'01_results_input'!G27),AND(DA4=DB4,'01_results_input'!F27='01_results_input'!G27)),pts_group_toto,0)))</f>
      </c>
      <c r="LE4">
        <f>IF(OR(ISBLANK(DE4),ISBLANK(DF4),ISBLANK('01_results_input'!F28),ISBLANK('01_results_input'!G28)),"",IF(AND(DE4='01_results_input'!F28,DF4='01_results_input'!G28),pts_group_toto+pts_group_exact_bonus,IF(OR(AND(DE4&gt;DF4,'01_results_input'!F28&gt;'01_results_input'!G28),AND(DE4&lt;DF4,'01_results_input'!F28&lt;'01_results_input'!G28),AND(DE4=DF4,'01_results_input'!F28='01_results_input'!G28)),pts_group_toto,0)))</f>
      </c>
      <c r="LF4">
        <f>IF(OR(ISBLANK(DI4),ISBLANK(DJ4),ISBLANK('01_results_input'!F29),ISBLANK('01_results_input'!G29)),"",IF(AND(DI4='01_results_input'!F29,DJ4='01_results_input'!G29),pts_group_toto+pts_group_exact_bonus,IF(OR(AND(DI4&gt;DJ4,'01_results_input'!F29&gt;'01_results_input'!G29),AND(DI4&lt;DJ4,'01_results_input'!F29&lt;'01_results_input'!G29),AND(DI4=DJ4,'01_results_input'!F29='01_results_input'!G29)),pts_group_toto,0)))</f>
      </c>
      <c r="LG4">
        <f>IF(OR(ISBLANK(DM4),ISBLANK(DN4),ISBLANK('01_results_input'!F30),ISBLANK('01_results_input'!G30)),"",IF(AND(DM4='01_results_input'!F30,DN4='01_results_input'!G30),pts_group_toto+pts_group_exact_bonus,IF(OR(AND(DM4&gt;DN4,'01_results_input'!F30&gt;'01_results_input'!G30),AND(DM4&lt;DN4,'01_results_input'!F30&lt;'01_results_input'!G30),AND(DM4=DN4,'01_results_input'!F30='01_results_input'!G30)),pts_group_toto,0)))</f>
      </c>
      <c r="LH4">
        <f>IF(OR(ISBLANK(DQ4),ISBLANK(DR4),ISBLANK('01_results_input'!F31),ISBLANK('01_results_input'!G31)),"",IF(AND(DQ4='01_results_input'!F31,DR4='01_results_input'!G31),pts_group_toto+pts_group_exact_bonus,IF(OR(AND(DQ4&gt;DR4,'01_results_input'!F31&gt;'01_results_input'!G31),AND(DQ4&lt;DR4,'01_results_input'!F31&lt;'01_results_input'!G31),AND(DQ4=DR4,'01_results_input'!F31='01_results_input'!G31)),pts_group_toto,0)))</f>
      </c>
      <c r="LI4">
        <f>IF(OR(ISBLANK(DU4),ISBLANK(DV4),ISBLANK('01_results_input'!F32),ISBLANK('01_results_input'!G32)),"",IF(AND(DU4='01_results_input'!F32,DV4='01_results_input'!G32),pts_group_toto+pts_group_exact_bonus,IF(OR(AND(DU4&gt;DV4,'01_results_input'!F32&gt;'01_results_input'!G32),AND(DU4&lt;DV4,'01_results_input'!F32&lt;'01_results_input'!G32),AND(DU4=DV4,'01_results_input'!F32='01_results_input'!G32)),pts_group_toto,0)))</f>
      </c>
      <c r="LJ4">
        <f>IF(OR(ISBLANK(DY4),ISBLANK(DZ4),ISBLANK('01_results_input'!F33),ISBLANK('01_results_input'!G33)),"",IF(AND(DY4='01_results_input'!F33,DZ4='01_results_input'!G33),pts_group_toto+pts_group_exact_bonus,IF(OR(AND(DY4&gt;DZ4,'01_results_input'!F33&gt;'01_results_input'!G33),AND(DY4&lt;DZ4,'01_results_input'!F33&lt;'01_results_input'!G33),AND(DY4=DZ4,'01_results_input'!F33='01_results_input'!G33)),pts_group_toto,0)))</f>
      </c>
      <c r="LK4">
        <f>IF(OR(ISBLANK(EC4),ISBLANK(ED4),ISBLANK('01_results_input'!F34),ISBLANK('01_results_input'!G34)),"",IF(AND(EC4='01_results_input'!F34,ED4='01_results_input'!G34),pts_group_toto+pts_group_exact_bonus,IF(OR(AND(EC4&gt;ED4,'01_results_input'!F34&gt;'01_results_input'!G34),AND(EC4&lt;ED4,'01_results_input'!F34&lt;'01_results_input'!G34),AND(EC4=ED4,'01_results_input'!F34='01_results_input'!G34)),pts_group_toto,0)))</f>
      </c>
      <c r="LL4">
        <f>IF(OR(ISBLANK(EG4),ISBLANK(EH4),ISBLANK('01_results_input'!F35),ISBLANK('01_results_input'!G35)),"",IF(AND(EG4='01_results_input'!F35,EH4='01_results_input'!G35),pts_group_toto+pts_group_exact_bonus,IF(OR(AND(EG4&gt;EH4,'01_results_input'!F35&gt;'01_results_input'!G35),AND(EG4&lt;EH4,'01_results_input'!F35&lt;'01_results_input'!G35),AND(EG4=EH4,'01_results_input'!F35='01_results_input'!G35)),pts_group_toto,0)))</f>
      </c>
      <c r="LM4">
        <f>IF(OR(ISBLANK(EK4),ISBLANK(EL4),ISBLANK('01_results_input'!F36),ISBLANK('01_results_input'!G36)),"",IF(AND(EK4='01_results_input'!F36,EL4='01_results_input'!G36),pts_group_toto+pts_group_exact_bonus,IF(OR(AND(EK4&gt;EL4,'01_results_input'!F36&gt;'01_results_input'!G36),AND(EK4&lt;EL4,'01_results_input'!F36&lt;'01_results_input'!G36),AND(EK4=EL4,'01_results_input'!F36='01_results_input'!G36)),pts_group_toto,0)))</f>
      </c>
      <c r="LN4">
        <f>IF(OR(ISBLANK(EO4),ISBLANK(EP4),ISBLANK('01_results_input'!F37),ISBLANK('01_results_input'!G37)),"",IF(AND(EO4='01_results_input'!F37,EP4='01_results_input'!G37),pts_group_toto+pts_group_exact_bonus,IF(OR(AND(EO4&gt;EP4,'01_results_input'!F37&gt;'01_results_input'!G37),AND(EO4&lt;EP4,'01_results_input'!F37&lt;'01_results_input'!G37),AND(EO4=EP4,'01_results_input'!F37='01_results_input'!G37)),pts_group_toto,0)))</f>
      </c>
      <c r="LO4">
        <f>IF(OR(ISBLANK(ES4),ISBLANK(ET4),ISBLANK('01_results_input'!F38),ISBLANK('01_results_input'!G38)),"",IF(AND(ES4='01_results_input'!F38,ET4='01_results_input'!G38),pts_group_toto+pts_group_exact_bonus,IF(OR(AND(ES4&gt;ET4,'01_results_input'!F38&gt;'01_results_input'!G38),AND(ES4&lt;ET4,'01_results_input'!F38&lt;'01_results_input'!G38),AND(ES4=ET4,'01_results_input'!F38='01_results_input'!G38)),pts_group_toto,0)))</f>
      </c>
      <c r="LP4">
        <f>IF(OR(ISBLANK(EW4),ISBLANK(EX4),ISBLANK('01_results_input'!F39),ISBLANK('01_results_input'!G39)),"",IF(AND(EW4='01_results_input'!F39,EX4='01_results_input'!G39),pts_group_toto+pts_group_exact_bonus,IF(OR(AND(EW4&gt;EX4,'01_results_input'!F39&gt;'01_results_input'!G39),AND(EW4&lt;EX4,'01_results_input'!F39&lt;'01_results_input'!G39),AND(EW4=EX4,'01_results_input'!F39='01_results_input'!G39)),pts_group_toto,0)))</f>
      </c>
      <c r="LQ4">
        <f>IF(OR(ISBLANK(FA4),ISBLANK(FB4),ISBLANK('01_results_input'!F40),ISBLANK('01_results_input'!G40)),"",IF(AND(FA4='01_results_input'!F40,FB4='01_results_input'!G40),pts_group_toto+pts_group_exact_bonus,IF(OR(AND(FA4&gt;FB4,'01_results_input'!F40&gt;'01_results_input'!G40),AND(FA4&lt;FB4,'01_results_input'!F40&lt;'01_results_input'!G40),AND(FA4=FB4,'01_results_input'!F40='01_results_input'!G40)),pts_group_toto,0)))</f>
      </c>
      <c r="LR4">
        <f>IF(OR(ISBLANK(FE4),ISBLANK(FF4),ISBLANK('01_results_input'!F41),ISBLANK('01_results_input'!G41)),"",IF(AND(FE4='01_results_input'!F41,FF4='01_results_input'!G41),pts_group_toto+pts_group_exact_bonus,IF(OR(AND(FE4&gt;FF4,'01_results_input'!F41&gt;'01_results_input'!G41),AND(FE4&lt;FF4,'01_results_input'!F41&lt;'01_results_input'!G41),AND(FE4=FF4,'01_results_input'!F41='01_results_input'!G41)),pts_group_toto,0)))</f>
      </c>
      <c r="LS4">
        <f>IF(OR(ISBLANK(FI4),ISBLANK(FJ4),ISBLANK('01_results_input'!F42),ISBLANK('01_results_input'!G42)),"",IF(AND(FI4='01_results_input'!F42,FJ4='01_results_input'!G42),pts_group_toto+pts_group_exact_bonus,IF(OR(AND(FI4&gt;FJ4,'01_results_input'!F42&gt;'01_results_input'!G42),AND(FI4&lt;FJ4,'01_results_input'!F42&lt;'01_results_input'!G42),AND(FI4=FJ4,'01_results_input'!F42='01_results_input'!G42)),pts_group_toto,0)))</f>
      </c>
      <c r="LT4">
        <f>IF(OR(ISBLANK(FM4),ISBLANK(FN4),ISBLANK('01_results_input'!F43),ISBLANK('01_results_input'!G43)),"",IF(AND(FM4='01_results_input'!F43,FN4='01_results_input'!G43),pts_group_toto+pts_group_exact_bonus,IF(OR(AND(FM4&gt;FN4,'01_results_input'!F43&gt;'01_results_input'!G43),AND(FM4&lt;FN4,'01_results_input'!F43&lt;'01_results_input'!G43),AND(FM4=FN4,'01_results_input'!F43='01_results_input'!G43)),pts_group_toto,0)))</f>
      </c>
      <c r="LU4">
        <f>IF(OR(ISBLANK(FQ4),ISBLANK(FR4),ISBLANK('01_results_input'!F44),ISBLANK('01_results_input'!G44)),"",IF(AND(FQ4='01_results_input'!F44,FR4='01_results_input'!G44),pts_group_toto+pts_group_exact_bonus,IF(OR(AND(FQ4&gt;FR4,'01_results_input'!F44&gt;'01_results_input'!G44),AND(FQ4&lt;FR4,'01_results_input'!F44&lt;'01_results_input'!G44),AND(FQ4=FR4,'01_results_input'!F44='01_results_input'!G44)),pts_group_toto,0)))</f>
      </c>
      <c r="LV4">
        <f>IF(OR(ISBLANK(FU4),ISBLANK(FV4),ISBLANK('01_results_input'!F45),ISBLANK('01_results_input'!G45)),"",IF(AND(FU4='01_results_input'!F45,FV4='01_results_input'!G45),pts_group_toto+pts_group_exact_bonus,IF(OR(AND(FU4&gt;FV4,'01_results_input'!F45&gt;'01_results_input'!G45),AND(FU4&lt;FV4,'01_results_input'!F45&lt;'01_results_input'!G45),AND(FU4=FV4,'01_results_input'!F45='01_results_input'!G45)),pts_group_toto,0)))</f>
      </c>
      <c r="LW4">
        <f>IF(OR(ISBLANK(FY4),ISBLANK(FZ4),ISBLANK('01_results_input'!F46),ISBLANK('01_results_input'!G46)),"",IF(AND(FY4='01_results_input'!F46,FZ4='01_results_input'!G46),pts_group_toto+pts_group_exact_bonus,IF(OR(AND(FY4&gt;FZ4,'01_results_input'!F46&gt;'01_results_input'!G46),AND(FY4&lt;FZ4,'01_results_input'!F46&lt;'01_results_input'!G46),AND(FY4=FZ4,'01_results_input'!F46='01_results_input'!G46)),pts_group_toto,0)))</f>
      </c>
      <c r="LX4">
        <f>IF(OR(ISBLANK(GC4),ISBLANK(GD4),ISBLANK('01_results_input'!F47),ISBLANK('01_results_input'!G47)),"",IF(AND(GC4='01_results_input'!F47,GD4='01_results_input'!G47),pts_group_toto+pts_group_exact_bonus,IF(OR(AND(GC4&gt;GD4,'01_results_input'!F47&gt;'01_results_input'!G47),AND(GC4&lt;GD4,'01_results_input'!F47&lt;'01_results_input'!G47),AND(GC4=GD4,'01_results_input'!F47='01_results_input'!G47)),pts_group_toto,0)))</f>
      </c>
      <c r="LY4">
        <f>IF(OR(ISBLANK(GG4),ISBLANK(GH4),ISBLANK('01_results_input'!F48),ISBLANK('01_results_input'!G48)),"",IF(AND(GG4='01_results_input'!F48,GH4='01_results_input'!G48),pts_group_toto+pts_group_exact_bonus,IF(OR(AND(GG4&gt;GH4,'01_results_input'!F48&gt;'01_results_input'!G48),AND(GG4&lt;GH4,'01_results_input'!F48&lt;'01_results_input'!G48),AND(GG4=GH4,'01_results_input'!F48='01_results_input'!G48)),pts_group_toto,0)))</f>
      </c>
      <c r="LZ4">
        <f>IF(OR(ISBLANK(GK4),ISBLANK(GL4),ISBLANK('01_results_input'!F49),ISBLANK('01_results_input'!G49)),"",IF(AND(GK4='01_results_input'!F49,GL4='01_results_input'!G49),pts_group_toto+pts_group_exact_bonus,IF(OR(AND(GK4&gt;GL4,'01_results_input'!F49&gt;'01_results_input'!G49),AND(GK4&lt;GL4,'01_results_input'!F49&lt;'01_results_input'!G49),AND(GK4=GL4,'01_results_input'!F49='01_results_input'!G49)),pts_group_toto,0)))</f>
      </c>
      <c r="MA4">
        <f>IF(OR(ISBLANK(GO4),ISBLANK(GP4),ISBLANK('01_results_input'!F50),ISBLANK('01_results_input'!G50)),"",IF(AND(GO4='01_results_input'!F50,GP4='01_results_input'!G50),pts_group_toto+pts_group_exact_bonus,IF(OR(AND(GO4&gt;GP4,'01_results_input'!F50&gt;'01_results_input'!G50),AND(GO4&lt;GP4,'01_results_input'!F50&lt;'01_results_input'!G50),AND(GO4=GP4,'01_results_input'!F50='01_results_input'!G50)),pts_group_toto,0)))</f>
      </c>
      <c r="MB4">
        <f>IF(OR(ISBLANK(GS4),ISBLANK(GT4),ISBLANK('01_results_input'!F51),ISBLANK('01_results_input'!G51)),"",IF(AND(GS4='01_results_input'!F51,GT4='01_results_input'!G51),pts_group_toto+pts_group_exact_bonus,IF(OR(AND(GS4&gt;GT4,'01_results_input'!F51&gt;'01_results_input'!G51),AND(GS4&lt;GT4,'01_results_input'!F51&lt;'01_results_input'!G51),AND(GS4=GT4,'01_results_input'!F51='01_results_input'!G51)),pts_group_toto,0)))</f>
      </c>
      <c r="MC4">
        <f>IF(OR(ISBLANK(GW4),ISBLANK(GX4),ISBLANK('01_results_input'!F52),ISBLANK('01_results_input'!G52)),"",IF(AND(GW4='01_results_input'!F52,GX4='01_results_input'!G52),pts_group_toto+pts_group_exact_bonus,IF(OR(AND(GW4&gt;GX4,'01_results_input'!F52&gt;'01_results_input'!G52),AND(GW4&lt;GX4,'01_results_input'!F52&lt;'01_results_input'!G52),AND(GW4=GX4,'01_results_input'!F52='01_results_input'!G52)),pts_group_toto,0)))</f>
      </c>
      <c r="MD4">
        <f>IF(OR(ISBLANK(HA4),ISBLANK(HB4),ISBLANK('01_results_input'!F53),ISBLANK('01_results_input'!G53)),"",IF(AND(HA4='01_results_input'!F53,HB4='01_results_input'!G53),pts_group_toto+pts_group_exact_bonus,IF(OR(AND(HA4&gt;HB4,'01_results_input'!F53&gt;'01_results_input'!G53),AND(HA4&lt;HB4,'01_results_input'!F53&lt;'01_results_input'!G53),AND(HA4=HB4,'01_results_input'!F53='01_results_input'!G53)),pts_group_toto,0)))</f>
      </c>
      <c r="ME4">
        <f>IF(OR(ISBLANK(HE4),ISBLANK(HF4),ISBLANK('01_results_input'!F54),ISBLANK('01_results_input'!G54)),"",IF(AND(HE4='01_results_input'!F54,HF4='01_results_input'!G54),pts_group_toto+pts_group_exact_bonus,IF(OR(AND(HE4&gt;HF4,'01_results_input'!F54&gt;'01_results_input'!G54),AND(HE4&lt;HF4,'01_results_input'!F54&lt;'01_results_input'!G54),AND(HE4=HF4,'01_results_input'!F54='01_results_input'!G54)),pts_group_toto,0)))</f>
      </c>
      <c r="MF4">
        <f>IF(OR(ISBLANK(HI4),ISBLANK(HJ4),ISBLANK('01_results_input'!F55),ISBLANK('01_results_input'!G55)),"",IF(AND(HI4='01_results_input'!F55,HJ4='01_results_input'!G55),pts_group_toto+pts_group_exact_bonus,IF(OR(AND(HI4&gt;HJ4,'01_results_input'!F55&gt;'01_results_input'!G55),AND(HI4&lt;HJ4,'01_results_input'!F55&lt;'01_results_input'!G55),AND(HI4=HJ4,'01_results_input'!F55='01_results_input'!G55)),pts_group_toto,0)))</f>
      </c>
      <c r="MG4">
        <f>IF(OR(ISBLANK(HM4),ISBLANK(HN4),ISBLANK('01_results_input'!F56),ISBLANK('01_results_input'!G56)),"",IF(AND(HM4='01_results_input'!F56,HN4='01_results_input'!G56),pts_group_toto+pts_group_exact_bonus,IF(OR(AND(HM4&gt;HN4,'01_results_input'!F56&gt;'01_results_input'!G56),AND(HM4&lt;HN4,'01_results_input'!F56&lt;'01_results_input'!G56),AND(HM4=HN4,'01_results_input'!F56='01_results_input'!G56)),pts_group_toto,0)))</f>
      </c>
      <c r="MH4">
        <f>IF(OR(ISBLANK(HQ4),ISBLANK(HR4),ISBLANK('01_results_input'!F57),ISBLANK('01_results_input'!G57)),"",IF(AND(HQ4='01_results_input'!F57,HR4='01_results_input'!G57),pts_group_toto+pts_group_exact_bonus,IF(OR(AND(HQ4&gt;HR4,'01_results_input'!F57&gt;'01_results_input'!G57),AND(HQ4&lt;HR4,'01_results_input'!F57&lt;'01_results_input'!G57),AND(HQ4=HR4,'01_results_input'!F57='01_results_input'!G57)),pts_group_toto,0)))</f>
      </c>
      <c r="MI4">
        <f>IF(OR(ISBLANK(HU4),ISBLANK(HV4),ISBLANK('01_results_input'!F58),ISBLANK('01_results_input'!G58)),"",IF(AND(HU4='01_results_input'!F58,HV4='01_results_input'!G58),pts_group_toto+pts_group_exact_bonus,IF(OR(AND(HU4&gt;HV4,'01_results_input'!F58&gt;'01_results_input'!G58),AND(HU4&lt;HV4,'01_results_input'!F58&lt;'01_results_input'!G58),AND(HU4=HV4,'01_results_input'!F58='01_results_input'!G58)),pts_group_toto,0)))</f>
      </c>
      <c r="MJ4">
        <f>IF(OR(ISBLANK(HY4),ISBLANK(HZ4),ISBLANK('01_results_input'!F59),ISBLANK('01_results_input'!G59)),"",IF(AND(HY4='01_results_input'!F59,HZ4='01_results_input'!G59),pts_group_toto+pts_group_exact_bonus,IF(OR(AND(HY4&gt;HZ4,'01_results_input'!F59&gt;'01_results_input'!G59),AND(HY4&lt;HZ4,'01_results_input'!F59&lt;'01_results_input'!G59),AND(HY4=HZ4,'01_results_input'!F59='01_results_input'!G59)),pts_group_toto,0)))</f>
      </c>
      <c r="MK4">
        <f>IF(OR(ISBLANK(IC4),ISBLANK(ID4),ISBLANK('01_results_input'!F60),ISBLANK('01_results_input'!G60)),"",IF(AND(IC4='01_results_input'!F60,ID4='01_results_input'!G60),pts_group_toto+pts_group_exact_bonus,IF(OR(AND(IC4&gt;ID4,'01_results_input'!F60&gt;'01_results_input'!G60),AND(IC4&lt;ID4,'01_results_input'!F60&lt;'01_results_input'!G60),AND(IC4=ID4,'01_results_input'!F60='01_results_input'!G60)),pts_group_toto,0)))</f>
      </c>
      <c r="ML4">
        <f>IF(OR(ISBLANK(IG4),ISBLANK(IH4),ISBLANK('01_results_input'!F61),ISBLANK('01_results_input'!G61)),"",IF(AND(IG4='01_results_input'!F61,IH4='01_results_input'!G61),pts_group_toto+pts_group_exact_bonus,IF(OR(AND(IG4&gt;IH4,'01_results_input'!F61&gt;'01_results_input'!G61),AND(IG4&lt;IH4,'01_results_input'!F61&lt;'01_results_input'!G61),AND(IG4=IH4,'01_results_input'!F61='01_results_input'!G61)),pts_group_toto,0)))</f>
      </c>
      <c r="MM4">
        <f>IF(OR(ISBLANK(IK4),ISBLANK(IL4),ISBLANK('01_results_input'!F62),ISBLANK('01_results_input'!G62)),"",IF(AND(IK4='01_results_input'!F62,IL4='01_results_input'!G62),pts_group_toto+pts_group_exact_bonus,IF(OR(AND(IK4&gt;IL4,'01_results_input'!F62&gt;'01_results_input'!G62),AND(IK4&lt;IL4,'01_results_input'!F62&lt;'01_results_input'!G62),AND(IK4=IL4,'01_results_input'!F62='01_results_input'!G62)),pts_group_toto,0)))</f>
      </c>
      <c r="MN4">
        <f>IF(OR(ISBLANK(IO4),ISBLANK(IP4),ISBLANK('01_results_input'!F63),ISBLANK('01_results_input'!G63)),"",IF(AND(IO4='01_results_input'!F63,IP4='01_results_input'!G63),pts_group_toto+pts_group_exact_bonus,IF(OR(AND(IO4&gt;IP4,'01_results_input'!F63&gt;'01_results_input'!G63),AND(IO4&lt;IP4,'01_results_input'!F63&lt;'01_results_input'!G63),AND(IO4=IP4,'01_results_input'!F63='01_results_input'!G63)),pts_group_toto,0)))</f>
      </c>
      <c r="MO4">
        <f>IF(OR(ISBLANK(IS4),ISBLANK(IT4),ISBLANK('01_results_input'!F64),ISBLANK('01_results_input'!G64)),"",IF(AND(IS4='01_results_input'!F64,IT4='01_results_input'!G64),pts_group_toto+pts_group_exact_bonus,IF(OR(AND(IS4&gt;IT4,'01_results_input'!F64&gt;'01_results_input'!G64),AND(IS4&lt;IT4,'01_results_input'!F64&lt;'01_results_input'!G64),AND(IS4=IT4,'01_results_input'!F64='01_results_input'!G64)),pts_group_toto,0)))</f>
      </c>
      <c r="MP4">
        <f>IF(OR(ISBLANK(IW4),ISBLANK(IX4),ISBLANK('01_results_input'!F65),ISBLANK('01_results_input'!G65)),"",IF(AND(IW4='01_results_input'!F65,IX4='01_results_input'!G65),pts_group_toto+pts_group_exact_bonus,IF(OR(AND(IW4&gt;IX4,'01_results_input'!F65&gt;'01_results_input'!G65),AND(IW4&lt;IX4,'01_results_input'!F65&lt;'01_results_input'!G65),AND(IW4=IX4,'01_results_input'!F65='01_results_input'!G65)),pts_group_toto,0)))</f>
      </c>
      <c r="MQ4">
        <f>IF(OR(ISBLANK(JA4),ISBLANK(JB4),ISBLANK('01_results_input'!F66),ISBLANK('01_results_input'!G66)),"",IF(AND(JA4='01_results_input'!F66,JB4='01_results_input'!G66),pts_group_toto+pts_group_exact_bonus,IF(OR(AND(JA4&gt;JB4,'01_results_input'!F66&gt;'01_results_input'!G66),AND(JA4&lt;JB4,'01_results_input'!F66&lt;'01_results_input'!G66),AND(JA4=JB4,'01_results_input'!F66='01_results_input'!G66)),pts_group_toto,0)))</f>
      </c>
      <c r="MR4">
        <f>IF(OR(ISBLANK(JE4),ISBLANK(JF4),ISBLANK('01_results_input'!F67),ISBLANK('01_results_input'!G67)),"",IF(AND(JE4='01_results_input'!F67,JF4='01_results_input'!G67),pts_group_toto+pts_group_exact_bonus,IF(OR(AND(JE4&gt;JF4,'01_results_input'!F67&gt;'01_results_input'!G67),AND(JE4&lt;JF4,'01_results_input'!F67&lt;'01_results_input'!G67),AND(JE4=JF4,'01_results_input'!F67='01_results_input'!G67)),pts_group_toto,0)))</f>
      </c>
      <c r="MS4">
        <f>IF(OR(ISBLANK(JI4),ISBLANK(JJ4),ISBLANK('01_results_input'!F68),ISBLANK('01_results_input'!G68)),"",IF(AND(JI4='01_results_input'!F68,JJ4='01_results_input'!G68),pts_group_toto+pts_group_exact_bonus,IF(OR(AND(JI4&gt;JJ4,'01_results_input'!F68&gt;'01_results_input'!G68),AND(JI4&lt;JJ4,'01_results_input'!F68&lt;'01_results_input'!G68),AND(JI4=JJ4,'01_results_input'!F68='01_results_input'!G68)),pts_group_toto,0)))</f>
      </c>
      <c r="MT4">
        <f>IF(OR(ISBLANK(JM4),ISBLANK(JN4),ISBLANK('01_results_input'!F69),ISBLANK('01_results_input'!G69)),"",IF(AND(JM4='01_results_input'!F69,JN4='01_results_input'!G69),pts_group_toto+pts_group_exact_bonus,IF(OR(AND(JM4&gt;JN4,'01_results_input'!F69&gt;'01_results_input'!G69),AND(JM4&lt;JN4,'01_results_input'!F69&lt;'01_results_input'!G69),AND(JM4=JN4,'01_results_input'!F69='01_results_input'!G69)),pts_group_toto,0)))</f>
      </c>
      <c r="MU4">
        <f>IF(OR(ISBLANK(JQ4),ISBLANK(JR4),ISBLANK('01_results_input'!F70),ISBLANK('01_results_input'!G70)),"",IF(AND(JQ4='01_results_input'!F70,JR4='01_results_input'!G70),pts_group_toto+pts_group_exact_bonus,IF(OR(AND(JQ4&gt;JR4,'01_results_input'!F70&gt;'01_results_input'!G70),AND(JQ4&lt;JR4,'01_results_input'!F70&lt;'01_results_input'!G70),AND(JQ4=JR4,'01_results_input'!F70='01_results_input'!G70)),pts_group_toto,0)))</f>
      </c>
      <c r="MV4">
        <f>IF(OR(ISBLANK(JU4),ISBLANK(JV4),ISBLANK('01_results_input'!F71),ISBLANK('01_results_input'!G71)),"",IF(AND(JU4='01_results_input'!F71,JV4='01_results_input'!G71),pts_group_toto+pts_group_exact_bonus,IF(OR(AND(JU4&gt;JV4,'01_results_input'!F71&gt;'01_results_input'!G71),AND(JU4&lt;JV4,'01_results_input'!F71&lt;'01_results_input'!G71),AND(JU4=JV4,'01_results_input'!F71='01_results_input'!G71)),pts_group_toto,0)))</f>
      </c>
      <c r="MW4">
        <f>IF(OR(ISBLANK(JY4),ISBLANK(JZ4),ISBLANK('01_results_input'!F72),ISBLANK('01_results_input'!G72)),"",IF(AND(JY4='01_results_input'!F72,JZ4='01_results_input'!G72),pts_group_toto+pts_group_exact_bonus,IF(OR(AND(JY4&gt;JZ4,'01_results_input'!F72&gt;'01_results_input'!G72),AND(JY4&lt;JZ4,'01_results_input'!F72&lt;'01_results_input'!G72),AND(JY4=JZ4,'01_results_input'!F72='01_results_input'!G72)),pts_group_toto,0)))</f>
      </c>
      <c r="MX4">
        <f>IF(OR(ISBLANK(KC4),ISBLANK(KD4),ISBLANK('01_results_input'!F73),ISBLANK('01_results_input'!G73)),"",IF(AND(KC4='01_results_input'!F73,KD4='01_results_input'!G73),pts_group_toto+pts_group_exact_bonus,IF(OR(AND(KC4&gt;KD4,'01_results_input'!F73&gt;'01_results_input'!G73),AND(KC4&lt;KD4,'01_results_input'!F73&lt;'01_results_input'!G73),AND(KC4=KD4,'01_results_input'!F73='01_results_input'!G73)),pts_group_toto,0)))</f>
      </c>
      <c r="MY4">
        <f>SUM(KE4:MX4)</f>
      </c>
    </row>
    <row r="5" spans="1:363" x14ac:dyDescent="0.25">
      <c r="A5" t="s">
        <v>560</v>
      </c>
      <c r="B5" t="s">
        <v>561</v>
      </c>
      <c r="C5" t="s">
        <v>26</v>
      </c>
      <c r="D5" t="s">
        <v>27</v>
      </c>
      <c r="E5">
        <v>1</v>
      </c>
      <c r="F5">
        <v>0</v>
      </c>
      <c r="G5" t="s">
        <v>29</v>
      </c>
      <c r="H5" t="s">
        <v>30</v>
      </c>
      <c r="I5">
        <v>2</v>
      </c>
      <c r="J5">
        <v>1</v>
      </c>
      <c r="K5" t="s">
        <v>26</v>
      </c>
      <c r="L5" t="s">
        <v>29</v>
      </c>
      <c r="M5">
        <v>2</v>
      </c>
      <c r="N5">
        <v>0</v>
      </c>
      <c r="O5" t="s">
        <v>30</v>
      </c>
      <c r="P5" t="s">
        <v>27</v>
      </c>
      <c r="Q5">
        <v>1</v>
      </c>
      <c r="R5">
        <v>0</v>
      </c>
      <c r="S5" t="s">
        <v>30</v>
      </c>
      <c r="T5" t="s">
        <v>26</v>
      </c>
      <c r="U5">
        <v>0</v>
      </c>
      <c r="V5">
        <v>1</v>
      </c>
      <c r="W5" t="s">
        <v>27</v>
      </c>
      <c r="X5" t="s">
        <v>29</v>
      </c>
      <c r="Y5">
        <v>2</v>
      </c>
      <c r="Z5">
        <v>2</v>
      </c>
      <c r="AA5" t="s">
        <v>37</v>
      </c>
      <c r="AB5" t="s">
        <v>38</v>
      </c>
      <c r="AC5">
        <v>3</v>
      </c>
      <c r="AD5">
        <v>2</v>
      </c>
      <c r="AE5" t="s">
        <v>40</v>
      </c>
      <c r="AF5" t="s">
        <v>41</v>
      </c>
      <c r="AG5">
        <v>1</v>
      </c>
      <c r="AH5">
        <v>0</v>
      </c>
      <c r="AI5" t="s">
        <v>37</v>
      </c>
      <c r="AJ5" t="s">
        <v>40</v>
      </c>
      <c r="AK5">
        <v>1</v>
      </c>
      <c r="AL5">
        <v>1</v>
      </c>
      <c r="AM5" t="s">
        <v>41</v>
      </c>
      <c r="AN5" t="s">
        <v>38</v>
      </c>
      <c r="AO5">
        <v>0</v>
      </c>
      <c r="AP5">
        <v>2</v>
      </c>
      <c r="AQ5" t="s">
        <v>41</v>
      </c>
      <c r="AR5" t="s">
        <v>37</v>
      </c>
      <c r="AS5">
        <v>2</v>
      </c>
      <c r="AT5">
        <v>1</v>
      </c>
      <c r="AU5" t="s">
        <v>38</v>
      </c>
      <c r="AV5" t="s">
        <v>40</v>
      </c>
      <c r="AW5">
        <v>1</v>
      </c>
      <c r="AX5">
        <v>0</v>
      </c>
      <c r="AY5" t="s">
        <v>48</v>
      </c>
      <c r="AZ5" t="s">
        <v>49</v>
      </c>
      <c r="BA5">
        <v>0</v>
      </c>
      <c r="BB5">
        <v>1</v>
      </c>
      <c r="BC5" t="s">
        <v>51</v>
      </c>
      <c r="BD5" t="s">
        <v>52</v>
      </c>
      <c r="BE5">
        <v>1</v>
      </c>
      <c r="BF5">
        <v>1</v>
      </c>
      <c r="BG5" t="s">
        <v>48</v>
      </c>
      <c r="BH5" t="s">
        <v>51</v>
      </c>
      <c r="BI5">
        <v>3</v>
      </c>
      <c r="BJ5">
        <v>2</v>
      </c>
      <c r="BK5" t="s">
        <v>52</v>
      </c>
      <c r="BL5" t="s">
        <v>49</v>
      </c>
      <c r="BM5">
        <v>2</v>
      </c>
      <c r="BN5">
        <v>2</v>
      </c>
      <c r="BO5" t="s">
        <v>52</v>
      </c>
      <c r="BP5" t="s">
        <v>48</v>
      </c>
      <c r="BQ5">
        <v>0</v>
      </c>
      <c r="BR5">
        <v>0</v>
      </c>
      <c r="BS5" t="s">
        <v>49</v>
      </c>
      <c r="BT5" t="s">
        <v>51</v>
      </c>
      <c r="BU5">
        <v>1</v>
      </c>
      <c r="BV5">
        <v>0</v>
      </c>
      <c r="BW5" t="s">
        <v>59</v>
      </c>
      <c r="BX5" t="s">
        <v>60</v>
      </c>
      <c r="BY5">
        <v>2</v>
      </c>
      <c r="BZ5">
        <v>1</v>
      </c>
      <c r="CA5" t="s">
        <v>62</v>
      </c>
      <c r="CB5" t="s">
        <v>63</v>
      </c>
      <c r="CC5">
        <v>2</v>
      </c>
      <c r="CD5">
        <v>0</v>
      </c>
      <c r="CE5" t="s">
        <v>59</v>
      </c>
      <c r="CF5" t="s">
        <v>62</v>
      </c>
      <c r="CG5">
        <v>0</v>
      </c>
      <c r="CH5">
        <v>0</v>
      </c>
      <c r="CI5" t="s">
        <v>63</v>
      </c>
      <c r="CJ5" t="s">
        <v>60</v>
      </c>
      <c r="CK5">
        <v>2</v>
      </c>
      <c r="CL5">
        <v>2</v>
      </c>
      <c r="CM5" t="s">
        <v>63</v>
      </c>
      <c r="CN5" t="s">
        <v>59</v>
      </c>
      <c r="CO5">
        <v>2</v>
      </c>
      <c r="CP5">
        <v>0</v>
      </c>
      <c r="CQ5" t="s">
        <v>60</v>
      </c>
      <c r="CR5" t="s">
        <v>62</v>
      </c>
      <c r="CS5">
        <v>0</v>
      </c>
      <c r="CT5">
        <v>0</v>
      </c>
      <c r="CU5" t="s">
        <v>70</v>
      </c>
      <c r="CV5" t="s">
        <v>71</v>
      </c>
      <c r="CW5">
        <v>0</v>
      </c>
      <c r="CX5">
        <v>1</v>
      </c>
      <c r="CY5" t="s">
        <v>73</v>
      </c>
      <c r="CZ5" t="s">
        <v>74</v>
      </c>
      <c r="DA5">
        <v>2</v>
      </c>
      <c r="DB5">
        <v>2</v>
      </c>
      <c r="DC5" t="s">
        <v>70</v>
      </c>
      <c r="DD5" t="s">
        <v>73</v>
      </c>
      <c r="DE5">
        <v>1</v>
      </c>
      <c r="DF5">
        <v>1</v>
      </c>
      <c r="DG5" t="s">
        <v>74</v>
      </c>
      <c r="DH5" t="s">
        <v>71</v>
      </c>
      <c r="DI5">
        <v>0</v>
      </c>
      <c r="DJ5">
        <v>2</v>
      </c>
      <c r="DK5" t="s">
        <v>74</v>
      </c>
      <c r="DL5" t="s">
        <v>70</v>
      </c>
      <c r="DM5">
        <v>1</v>
      </c>
      <c r="DN5">
        <v>0</v>
      </c>
      <c r="DO5" t="s">
        <v>71</v>
      </c>
      <c r="DP5" t="s">
        <v>73</v>
      </c>
      <c r="DQ5">
        <v>2</v>
      </c>
      <c r="DR5">
        <v>2</v>
      </c>
      <c r="DS5" t="s">
        <v>81</v>
      </c>
      <c r="DT5" t="s">
        <v>82</v>
      </c>
      <c r="DU5">
        <v>0</v>
      </c>
      <c r="DV5">
        <v>0</v>
      </c>
      <c r="DW5" t="s">
        <v>84</v>
      </c>
      <c r="DX5" t="s">
        <v>85</v>
      </c>
      <c r="DY5">
        <v>3</v>
      </c>
      <c r="DZ5">
        <v>2</v>
      </c>
      <c r="EA5" t="s">
        <v>81</v>
      </c>
      <c r="EB5" t="s">
        <v>84</v>
      </c>
      <c r="EC5">
        <v>1</v>
      </c>
      <c r="ED5">
        <v>0</v>
      </c>
      <c r="EE5" t="s">
        <v>85</v>
      </c>
      <c r="EF5" t="s">
        <v>82</v>
      </c>
      <c r="EG5">
        <v>2</v>
      </c>
      <c r="EH5">
        <v>1</v>
      </c>
      <c r="EI5" t="s">
        <v>85</v>
      </c>
      <c r="EJ5" t="s">
        <v>81</v>
      </c>
      <c r="EK5">
        <v>3</v>
      </c>
      <c r="EL5">
        <v>1</v>
      </c>
      <c r="EM5" t="s">
        <v>82</v>
      </c>
      <c r="EN5" t="s">
        <v>84</v>
      </c>
      <c r="EO5">
        <v>0</v>
      </c>
      <c r="EP5">
        <v>2</v>
      </c>
      <c r="EQ5" t="s">
        <v>92</v>
      </c>
      <c r="ER5" t="s">
        <v>93</v>
      </c>
      <c r="ES5">
        <v>2</v>
      </c>
      <c r="ET5">
        <v>0</v>
      </c>
      <c r="EU5" t="s">
        <v>95</v>
      </c>
      <c r="EV5" t="s">
        <v>96</v>
      </c>
      <c r="EW5">
        <v>0</v>
      </c>
      <c r="EX5">
        <v>2</v>
      </c>
      <c r="EY5" t="s">
        <v>92</v>
      </c>
      <c r="EZ5" t="s">
        <v>95</v>
      </c>
      <c r="FA5">
        <v>0</v>
      </c>
      <c r="FB5">
        <v>1</v>
      </c>
      <c r="FC5" t="s">
        <v>96</v>
      </c>
      <c r="FD5" t="s">
        <v>93</v>
      </c>
      <c r="FE5">
        <v>2</v>
      </c>
      <c r="FF5">
        <v>0</v>
      </c>
      <c r="FG5" t="s">
        <v>96</v>
      </c>
      <c r="FH5" t="s">
        <v>92</v>
      </c>
      <c r="FI5">
        <v>3</v>
      </c>
      <c r="FJ5">
        <v>1</v>
      </c>
      <c r="FK5" t="s">
        <v>93</v>
      </c>
      <c r="FL5" t="s">
        <v>95</v>
      </c>
      <c r="FM5">
        <v>2</v>
      </c>
      <c r="FN5">
        <v>0</v>
      </c>
      <c r="FO5" t="s">
        <v>103</v>
      </c>
      <c r="FP5" t="s">
        <v>104</v>
      </c>
      <c r="FQ5">
        <v>3</v>
      </c>
      <c r="FR5">
        <v>0</v>
      </c>
      <c r="FS5" t="s">
        <v>106</v>
      </c>
      <c r="FT5" t="s">
        <v>107</v>
      </c>
      <c r="FU5">
        <v>1</v>
      </c>
      <c r="FV5">
        <v>0</v>
      </c>
      <c r="FW5" t="s">
        <v>103</v>
      </c>
      <c r="FX5" t="s">
        <v>106</v>
      </c>
      <c r="FY5">
        <v>3</v>
      </c>
      <c r="FZ5">
        <v>0</v>
      </c>
      <c r="GA5" t="s">
        <v>107</v>
      </c>
      <c r="GB5" t="s">
        <v>104</v>
      </c>
      <c r="GC5">
        <v>3</v>
      </c>
      <c r="GD5">
        <v>2</v>
      </c>
      <c r="GE5" t="s">
        <v>107</v>
      </c>
      <c r="GF5" t="s">
        <v>103</v>
      </c>
      <c r="GG5">
        <v>3</v>
      </c>
      <c r="GH5">
        <v>0</v>
      </c>
      <c r="GI5" t="s">
        <v>104</v>
      </c>
      <c r="GJ5" t="s">
        <v>106</v>
      </c>
      <c r="GK5">
        <v>2</v>
      </c>
      <c r="GL5">
        <v>2</v>
      </c>
      <c r="GM5" t="s">
        <v>114</v>
      </c>
      <c r="GN5" t="s">
        <v>115</v>
      </c>
      <c r="GO5">
        <v>3</v>
      </c>
      <c r="GP5">
        <v>0</v>
      </c>
      <c r="GQ5" t="s">
        <v>117</v>
      </c>
      <c r="GR5" t="s">
        <v>118</v>
      </c>
      <c r="GS5">
        <v>3</v>
      </c>
      <c r="GT5">
        <v>0</v>
      </c>
      <c r="GU5" t="s">
        <v>114</v>
      </c>
      <c r="GV5" t="s">
        <v>117</v>
      </c>
      <c r="GW5">
        <v>2</v>
      </c>
      <c r="GX5">
        <v>2</v>
      </c>
      <c r="GY5" t="s">
        <v>118</v>
      </c>
      <c r="GZ5" t="s">
        <v>115</v>
      </c>
      <c r="HA5">
        <v>0</v>
      </c>
      <c r="HB5">
        <v>2</v>
      </c>
      <c r="HC5" t="s">
        <v>118</v>
      </c>
      <c r="HD5" t="s">
        <v>114</v>
      </c>
      <c r="HE5">
        <v>2</v>
      </c>
      <c r="HF5">
        <v>2</v>
      </c>
      <c r="HG5" t="s">
        <v>115</v>
      </c>
      <c r="HH5" t="s">
        <v>117</v>
      </c>
      <c r="HI5">
        <v>2</v>
      </c>
      <c r="HJ5">
        <v>0</v>
      </c>
      <c r="HK5" t="s">
        <v>125</v>
      </c>
      <c r="HL5" t="s">
        <v>126</v>
      </c>
      <c r="HM5">
        <v>0</v>
      </c>
      <c r="HN5">
        <v>2</v>
      </c>
      <c r="HO5" t="s">
        <v>128</v>
      </c>
      <c r="HP5" t="s">
        <v>129</v>
      </c>
      <c r="HQ5">
        <v>1</v>
      </c>
      <c r="HR5">
        <v>2</v>
      </c>
      <c r="HS5" t="s">
        <v>125</v>
      </c>
      <c r="HT5" t="s">
        <v>128</v>
      </c>
      <c r="HU5">
        <v>3</v>
      </c>
      <c r="HV5">
        <v>1</v>
      </c>
      <c r="HW5" t="s">
        <v>129</v>
      </c>
      <c r="HX5" t="s">
        <v>126</v>
      </c>
      <c r="HY5">
        <v>0</v>
      </c>
      <c r="HZ5">
        <v>0</v>
      </c>
      <c r="IA5" t="s">
        <v>129</v>
      </c>
      <c r="IB5" t="s">
        <v>125</v>
      </c>
      <c r="IC5">
        <v>2</v>
      </c>
      <c r="ID5">
        <v>1</v>
      </c>
      <c r="IE5" t="s">
        <v>126</v>
      </c>
      <c r="IF5" t="s">
        <v>128</v>
      </c>
      <c r="IG5">
        <v>2</v>
      </c>
      <c r="IH5">
        <v>2</v>
      </c>
      <c r="II5" t="s">
        <v>136</v>
      </c>
      <c r="IJ5" t="s">
        <v>137</v>
      </c>
      <c r="IK5">
        <v>1</v>
      </c>
      <c r="IL5">
        <v>0</v>
      </c>
      <c r="IM5" t="s">
        <v>139</v>
      </c>
      <c r="IN5" t="s">
        <v>140</v>
      </c>
      <c r="IO5">
        <v>3</v>
      </c>
      <c r="IP5">
        <v>0</v>
      </c>
      <c r="IQ5" t="s">
        <v>136</v>
      </c>
      <c r="IR5" t="s">
        <v>139</v>
      </c>
      <c r="IS5">
        <v>1</v>
      </c>
      <c r="IT5">
        <v>1</v>
      </c>
      <c r="IU5" t="s">
        <v>140</v>
      </c>
      <c r="IV5" t="s">
        <v>137</v>
      </c>
      <c r="IW5">
        <v>1</v>
      </c>
      <c r="IX5">
        <v>0</v>
      </c>
      <c r="IY5" t="s">
        <v>140</v>
      </c>
      <c r="IZ5" t="s">
        <v>136</v>
      </c>
      <c r="JA5">
        <v>3</v>
      </c>
      <c r="JB5">
        <v>0</v>
      </c>
      <c r="JC5" t="s">
        <v>137</v>
      </c>
      <c r="JD5" t="s">
        <v>139</v>
      </c>
      <c r="JE5">
        <v>0</v>
      </c>
      <c r="JF5">
        <v>2</v>
      </c>
      <c r="JG5" t="s">
        <v>147</v>
      </c>
      <c r="JH5" t="s">
        <v>148</v>
      </c>
      <c r="JI5">
        <v>0</v>
      </c>
      <c r="JJ5">
        <v>2</v>
      </c>
      <c r="JK5" t="s">
        <v>150</v>
      </c>
      <c r="JL5" t="s">
        <v>151</v>
      </c>
      <c r="JM5">
        <v>2</v>
      </c>
      <c r="JN5">
        <v>2</v>
      </c>
      <c r="JO5" t="s">
        <v>147</v>
      </c>
      <c r="JP5" t="s">
        <v>150</v>
      </c>
      <c r="JQ5">
        <v>2</v>
      </c>
      <c r="JR5">
        <v>1</v>
      </c>
      <c r="JS5" t="s">
        <v>151</v>
      </c>
      <c r="JT5" t="s">
        <v>148</v>
      </c>
      <c r="JU5">
        <v>1</v>
      </c>
      <c r="JV5">
        <v>2</v>
      </c>
      <c r="JW5" t="s">
        <v>151</v>
      </c>
      <c r="JX5" t="s">
        <v>147</v>
      </c>
      <c r="JY5">
        <v>3</v>
      </c>
      <c r="JZ5">
        <v>1</v>
      </c>
      <c r="KA5" t="s">
        <v>148</v>
      </c>
      <c r="KB5" t="s">
        <v>150</v>
      </c>
      <c r="KC5">
        <v>3</v>
      </c>
      <c r="KD5">
        <v>1</v>
      </c>
      <c r="KE5">
        <f>IF(OR(ISBLANK(E5),ISBLANK(F5),ISBLANK('01_results_input'!F2),ISBLANK('01_results_input'!G2)),"",IF(AND(E5='01_results_input'!F2,F5='01_results_input'!G2),pts_group_toto+pts_group_exact_bonus,IF(OR(AND(E5&gt;F5,'01_results_input'!F2&gt;'01_results_input'!G2),AND(E5&lt;F5,'01_results_input'!F2&lt;'01_results_input'!G2),AND(E5=F5,'01_results_input'!F2='01_results_input'!G2)),pts_group_toto,0)))</f>
      </c>
      <c r="KF5">
        <f>IF(OR(ISBLANK(I5),ISBLANK(J5),ISBLANK('01_results_input'!F3),ISBLANK('01_results_input'!G3)),"",IF(AND(I5='01_results_input'!F3,J5='01_results_input'!G3),pts_group_toto+pts_group_exact_bonus,IF(OR(AND(I5&gt;J5,'01_results_input'!F3&gt;'01_results_input'!G3),AND(I5&lt;J5,'01_results_input'!F3&lt;'01_results_input'!G3),AND(I5=J5,'01_results_input'!F3='01_results_input'!G3)),pts_group_toto,0)))</f>
      </c>
      <c r="KG5">
        <f>IF(OR(ISBLANK(M5),ISBLANK(N5),ISBLANK('01_results_input'!F4),ISBLANK('01_results_input'!G4)),"",IF(AND(M5='01_results_input'!F4,N5='01_results_input'!G4),pts_group_toto+pts_group_exact_bonus,IF(OR(AND(M5&gt;N5,'01_results_input'!F4&gt;'01_results_input'!G4),AND(M5&lt;N5,'01_results_input'!F4&lt;'01_results_input'!G4),AND(M5=N5,'01_results_input'!F4='01_results_input'!G4)),pts_group_toto,0)))</f>
      </c>
      <c r="KH5">
        <f>IF(OR(ISBLANK(Q5),ISBLANK(R5),ISBLANK('01_results_input'!F5),ISBLANK('01_results_input'!G5)),"",IF(AND(Q5='01_results_input'!F5,R5='01_results_input'!G5),pts_group_toto+pts_group_exact_bonus,IF(OR(AND(Q5&gt;R5,'01_results_input'!F5&gt;'01_results_input'!G5),AND(Q5&lt;R5,'01_results_input'!F5&lt;'01_results_input'!G5),AND(Q5=R5,'01_results_input'!F5='01_results_input'!G5)),pts_group_toto,0)))</f>
      </c>
      <c r="KI5">
        <f>IF(OR(ISBLANK(U5),ISBLANK(V5),ISBLANK('01_results_input'!F6),ISBLANK('01_results_input'!G6)),"",IF(AND(U5='01_results_input'!F6,V5='01_results_input'!G6),pts_group_toto+pts_group_exact_bonus,IF(OR(AND(U5&gt;V5,'01_results_input'!F6&gt;'01_results_input'!G6),AND(U5&lt;V5,'01_results_input'!F6&lt;'01_results_input'!G6),AND(U5=V5,'01_results_input'!F6='01_results_input'!G6)),pts_group_toto,0)))</f>
      </c>
      <c r="KJ5">
        <f>IF(OR(ISBLANK(Y5),ISBLANK(Z5),ISBLANK('01_results_input'!F7),ISBLANK('01_results_input'!G7)),"",IF(AND(Y5='01_results_input'!F7,Z5='01_results_input'!G7),pts_group_toto+pts_group_exact_bonus,IF(OR(AND(Y5&gt;Z5,'01_results_input'!F7&gt;'01_results_input'!G7),AND(Y5&lt;Z5,'01_results_input'!F7&lt;'01_results_input'!G7),AND(Y5=Z5,'01_results_input'!F7='01_results_input'!G7)),pts_group_toto,0)))</f>
      </c>
      <c r="KK5">
        <f>IF(OR(ISBLANK(AC5),ISBLANK(AD5),ISBLANK('01_results_input'!F8),ISBLANK('01_results_input'!G8)),"",IF(AND(AC5='01_results_input'!F8,AD5='01_results_input'!G8),pts_group_toto+pts_group_exact_bonus,IF(OR(AND(AC5&gt;AD5,'01_results_input'!F8&gt;'01_results_input'!G8),AND(AC5&lt;AD5,'01_results_input'!F8&lt;'01_results_input'!G8),AND(AC5=AD5,'01_results_input'!F8='01_results_input'!G8)),pts_group_toto,0)))</f>
      </c>
      <c r="KL5">
        <f>IF(OR(ISBLANK(AG5),ISBLANK(AH5),ISBLANK('01_results_input'!F9),ISBLANK('01_results_input'!G9)),"",IF(AND(AG5='01_results_input'!F9,AH5='01_results_input'!G9),pts_group_toto+pts_group_exact_bonus,IF(OR(AND(AG5&gt;AH5,'01_results_input'!F9&gt;'01_results_input'!G9),AND(AG5&lt;AH5,'01_results_input'!F9&lt;'01_results_input'!G9),AND(AG5=AH5,'01_results_input'!F9='01_results_input'!G9)),pts_group_toto,0)))</f>
      </c>
      <c r="KM5">
        <f>IF(OR(ISBLANK(AK5),ISBLANK(AL5),ISBLANK('01_results_input'!F10),ISBLANK('01_results_input'!G10)),"",IF(AND(AK5='01_results_input'!F10,AL5='01_results_input'!G10),pts_group_toto+pts_group_exact_bonus,IF(OR(AND(AK5&gt;AL5,'01_results_input'!F10&gt;'01_results_input'!G10),AND(AK5&lt;AL5,'01_results_input'!F10&lt;'01_results_input'!G10),AND(AK5=AL5,'01_results_input'!F10='01_results_input'!G10)),pts_group_toto,0)))</f>
      </c>
      <c r="KN5">
        <f>IF(OR(ISBLANK(AO5),ISBLANK(AP5),ISBLANK('01_results_input'!F11),ISBLANK('01_results_input'!G11)),"",IF(AND(AO5='01_results_input'!F11,AP5='01_results_input'!G11),pts_group_toto+pts_group_exact_bonus,IF(OR(AND(AO5&gt;AP5,'01_results_input'!F11&gt;'01_results_input'!G11),AND(AO5&lt;AP5,'01_results_input'!F11&lt;'01_results_input'!G11),AND(AO5=AP5,'01_results_input'!F11='01_results_input'!G11)),pts_group_toto,0)))</f>
      </c>
      <c r="KO5">
        <f>IF(OR(ISBLANK(AS5),ISBLANK(AT5),ISBLANK('01_results_input'!F12),ISBLANK('01_results_input'!G12)),"",IF(AND(AS5='01_results_input'!F12,AT5='01_results_input'!G12),pts_group_toto+pts_group_exact_bonus,IF(OR(AND(AS5&gt;AT5,'01_results_input'!F12&gt;'01_results_input'!G12),AND(AS5&lt;AT5,'01_results_input'!F12&lt;'01_results_input'!G12),AND(AS5=AT5,'01_results_input'!F12='01_results_input'!G12)),pts_group_toto,0)))</f>
      </c>
      <c r="KP5">
        <f>IF(OR(ISBLANK(AW5),ISBLANK(AX5),ISBLANK('01_results_input'!F13),ISBLANK('01_results_input'!G13)),"",IF(AND(AW5='01_results_input'!F13,AX5='01_results_input'!G13),pts_group_toto+pts_group_exact_bonus,IF(OR(AND(AW5&gt;AX5,'01_results_input'!F13&gt;'01_results_input'!G13),AND(AW5&lt;AX5,'01_results_input'!F13&lt;'01_results_input'!G13),AND(AW5=AX5,'01_results_input'!F13='01_results_input'!G13)),pts_group_toto,0)))</f>
      </c>
      <c r="KQ5">
        <f>IF(OR(ISBLANK(BA5),ISBLANK(BB5),ISBLANK('01_results_input'!F14),ISBLANK('01_results_input'!G14)),"",IF(AND(BA5='01_results_input'!F14,BB5='01_results_input'!G14),pts_group_toto+pts_group_exact_bonus,IF(OR(AND(BA5&gt;BB5,'01_results_input'!F14&gt;'01_results_input'!G14),AND(BA5&lt;BB5,'01_results_input'!F14&lt;'01_results_input'!G14),AND(BA5=BB5,'01_results_input'!F14='01_results_input'!G14)),pts_group_toto,0)))</f>
      </c>
      <c r="KR5">
        <f>IF(OR(ISBLANK(BE5),ISBLANK(BF5),ISBLANK('01_results_input'!F15),ISBLANK('01_results_input'!G15)),"",IF(AND(BE5='01_results_input'!F15,BF5='01_results_input'!G15),pts_group_toto+pts_group_exact_bonus,IF(OR(AND(BE5&gt;BF5,'01_results_input'!F15&gt;'01_results_input'!G15),AND(BE5&lt;BF5,'01_results_input'!F15&lt;'01_results_input'!G15),AND(BE5=BF5,'01_results_input'!F15='01_results_input'!G15)),pts_group_toto,0)))</f>
      </c>
      <c r="KS5">
        <f>IF(OR(ISBLANK(BI5),ISBLANK(BJ5),ISBLANK('01_results_input'!F16),ISBLANK('01_results_input'!G16)),"",IF(AND(BI5='01_results_input'!F16,BJ5='01_results_input'!G16),pts_group_toto+pts_group_exact_bonus,IF(OR(AND(BI5&gt;BJ5,'01_results_input'!F16&gt;'01_results_input'!G16),AND(BI5&lt;BJ5,'01_results_input'!F16&lt;'01_results_input'!G16),AND(BI5=BJ5,'01_results_input'!F16='01_results_input'!G16)),pts_group_toto,0)))</f>
      </c>
      <c r="KT5">
        <f>IF(OR(ISBLANK(BM5),ISBLANK(BN5),ISBLANK('01_results_input'!F17),ISBLANK('01_results_input'!G17)),"",IF(AND(BM5='01_results_input'!F17,BN5='01_results_input'!G17),pts_group_toto+pts_group_exact_bonus,IF(OR(AND(BM5&gt;BN5,'01_results_input'!F17&gt;'01_results_input'!G17),AND(BM5&lt;BN5,'01_results_input'!F17&lt;'01_results_input'!G17),AND(BM5=BN5,'01_results_input'!F17='01_results_input'!G17)),pts_group_toto,0)))</f>
      </c>
      <c r="KU5">
        <f>IF(OR(ISBLANK(BQ5),ISBLANK(BR5),ISBLANK('01_results_input'!F18),ISBLANK('01_results_input'!G18)),"",IF(AND(BQ5='01_results_input'!F18,BR5='01_results_input'!G18),pts_group_toto+pts_group_exact_bonus,IF(OR(AND(BQ5&gt;BR5,'01_results_input'!F18&gt;'01_results_input'!G18),AND(BQ5&lt;BR5,'01_results_input'!F18&lt;'01_results_input'!G18),AND(BQ5=BR5,'01_results_input'!F18='01_results_input'!G18)),pts_group_toto,0)))</f>
      </c>
      <c r="KV5">
        <f>IF(OR(ISBLANK(BU5),ISBLANK(BV5),ISBLANK('01_results_input'!F19),ISBLANK('01_results_input'!G19)),"",IF(AND(BU5='01_results_input'!F19,BV5='01_results_input'!G19),pts_group_toto+pts_group_exact_bonus,IF(OR(AND(BU5&gt;BV5,'01_results_input'!F19&gt;'01_results_input'!G19),AND(BU5&lt;BV5,'01_results_input'!F19&lt;'01_results_input'!G19),AND(BU5=BV5,'01_results_input'!F19='01_results_input'!G19)),pts_group_toto,0)))</f>
      </c>
      <c r="KW5">
        <f>IF(OR(ISBLANK(BY5),ISBLANK(BZ5),ISBLANK('01_results_input'!F20),ISBLANK('01_results_input'!G20)),"",IF(AND(BY5='01_results_input'!F20,BZ5='01_results_input'!G20),pts_group_toto+pts_group_exact_bonus,IF(OR(AND(BY5&gt;BZ5,'01_results_input'!F20&gt;'01_results_input'!G20),AND(BY5&lt;BZ5,'01_results_input'!F20&lt;'01_results_input'!G20),AND(BY5=BZ5,'01_results_input'!F20='01_results_input'!G20)),pts_group_toto,0)))</f>
      </c>
      <c r="KX5">
        <f>IF(OR(ISBLANK(CC5),ISBLANK(CD5),ISBLANK('01_results_input'!F21),ISBLANK('01_results_input'!G21)),"",IF(AND(CC5='01_results_input'!F21,CD5='01_results_input'!G21),pts_group_toto+pts_group_exact_bonus,IF(OR(AND(CC5&gt;CD5,'01_results_input'!F21&gt;'01_results_input'!G21),AND(CC5&lt;CD5,'01_results_input'!F21&lt;'01_results_input'!G21),AND(CC5=CD5,'01_results_input'!F21='01_results_input'!G21)),pts_group_toto,0)))</f>
      </c>
      <c r="KY5">
        <f>IF(OR(ISBLANK(CG5),ISBLANK(CH5),ISBLANK('01_results_input'!F22),ISBLANK('01_results_input'!G22)),"",IF(AND(CG5='01_results_input'!F22,CH5='01_results_input'!G22),pts_group_toto+pts_group_exact_bonus,IF(OR(AND(CG5&gt;CH5,'01_results_input'!F22&gt;'01_results_input'!G22),AND(CG5&lt;CH5,'01_results_input'!F22&lt;'01_results_input'!G22),AND(CG5=CH5,'01_results_input'!F22='01_results_input'!G22)),pts_group_toto,0)))</f>
      </c>
      <c r="KZ5">
        <f>IF(OR(ISBLANK(CK5),ISBLANK(CL5),ISBLANK('01_results_input'!F23),ISBLANK('01_results_input'!G23)),"",IF(AND(CK5='01_results_input'!F23,CL5='01_results_input'!G23),pts_group_toto+pts_group_exact_bonus,IF(OR(AND(CK5&gt;CL5,'01_results_input'!F23&gt;'01_results_input'!G23),AND(CK5&lt;CL5,'01_results_input'!F23&lt;'01_results_input'!G23),AND(CK5=CL5,'01_results_input'!F23='01_results_input'!G23)),pts_group_toto,0)))</f>
      </c>
      <c r="LA5">
        <f>IF(OR(ISBLANK(CO5),ISBLANK(CP5),ISBLANK('01_results_input'!F24),ISBLANK('01_results_input'!G24)),"",IF(AND(CO5='01_results_input'!F24,CP5='01_results_input'!G24),pts_group_toto+pts_group_exact_bonus,IF(OR(AND(CO5&gt;CP5,'01_results_input'!F24&gt;'01_results_input'!G24),AND(CO5&lt;CP5,'01_results_input'!F24&lt;'01_results_input'!G24),AND(CO5=CP5,'01_results_input'!F24='01_results_input'!G24)),pts_group_toto,0)))</f>
      </c>
      <c r="LB5">
        <f>IF(OR(ISBLANK(CS5),ISBLANK(CT5),ISBLANK('01_results_input'!F25),ISBLANK('01_results_input'!G25)),"",IF(AND(CS5='01_results_input'!F25,CT5='01_results_input'!G25),pts_group_toto+pts_group_exact_bonus,IF(OR(AND(CS5&gt;CT5,'01_results_input'!F25&gt;'01_results_input'!G25),AND(CS5&lt;CT5,'01_results_input'!F25&lt;'01_results_input'!G25),AND(CS5=CT5,'01_results_input'!F25='01_results_input'!G25)),pts_group_toto,0)))</f>
      </c>
      <c r="LC5">
        <f>IF(OR(ISBLANK(CW5),ISBLANK(CX5),ISBLANK('01_results_input'!F26),ISBLANK('01_results_input'!G26)),"",IF(AND(CW5='01_results_input'!F26,CX5='01_results_input'!G26),pts_group_toto+pts_group_exact_bonus,IF(OR(AND(CW5&gt;CX5,'01_results_input'!F26&gt;'01_results_input'!G26),AND(CW5&lt;CX5,'01_results_input'!F26&lt;'01_results_input'!G26),AND(CW5=CX5,'01_results_input'!F26='01_results_input'!G26)),pts_group_toto,0)))</f>
      </c>
      <c r="LD5">
        <f>IF(OR(ISBLANK(DA5),ISBLANK(DB5),ISBLANK('01_results_input'!F27),ISBLANK('01_results_input'!G27)),"",IF(AND(DA5='01_results_input'!F27,DB5='01_results_input'!G27),pts_group_toto+pts_group_exact_bonus,IF(OR(AND(DA5&gt;DB5,'01_results_input'!F27&gt;'01_results_input'!G27),AND(DA5&lt;DB5,'01_results_input'!F27&lt;'01_results_input'!G27),AND(DA5=DB5,'01_results_input'!F27='01_results_input'!G27)),pts_group_toto,0)))</f>
      </c>
      <c r="LE5">
        <f>IF(OR(ISBLANK(DE5),ISBLANK(DF5),ISBLANK('01_results_input'!F28),ISBLANK('01_results_input'!G28)),"",IF(AND(DE5='01_results_input'!F28,DF5='01_results_input'!G28),pts_group_toto+pts_group_exact_bonus,IF(OR(AND(DE5&gt;DF5,'01_results_input'!F28&gt;'01_results_input'!G28),AND(DE5&lt;DF5,'01_results_input'!F28&lt;'01_results_input'!G28),AND(DE5=DF5,'01_results_input'!F28='01_results_input'!G28)),pts_group_toto,0)))</f>
      </c>
      <c r="LF5">
        <f>IF(OR(ISBLANK(DI5),ISBLANK(DJ5),ISBLANK('01_results_input'!F29),ISBLANK('01_results_input'!G29)),"",IF(AND(DI5='01_results_input'!F29,DJ5='01_results_input'!G29),pts_group_toto+pts_group_exact_bonus,IF(OR(AND(DI5&gt;DJ5,'01_results_input'!F29&gt;'01_results_input'!G29),AND(DI5&lt;DJ5,'01_results_input'!F29&lt;'01_results_input'!G29),AND(DI5=DJ5,'01_results_input'!F29='01_results_input'!G29)),pts_group_toto,0)))</f>
      </c>
      <c r="LG5">
        <f>IF(OR(ISBLANK(DM5),ISBLANK(DN5),ISBLANK('01_results_input'!F30),ISBLANK('01_results_input'!G30)),"",IF(AND(DM5='01_results_input'!F30,DN5='01_results_input'!G30),pts_group_toto+pts_group_exact_bonus,IF(OR(AND(DM5&gt;DN5,'01_results_input'!F30&gt;'01_results_input'!G30),AND(DM5&lt;DN5,'01_results_input'!F30&lt;'01_results_input'!G30),AND(DM5=DN5,'01_results_input'!F30='01_results_input'!G30)),pts_group_toto,0)))</f>
      </c>
      <c r="LH5">
        <f>IF(OR(ISBLANK(DQ5),ISBLANK(DR5),ISBLANK('01_results_input'!F31),ISBLANK('01_results_input'!G31)),"",IF(AND(DQ5='01_results_input'!F31,DR5='01_results_input'!G31),pts_group_toto+pts_group_exact_bonus,IF(OR(AND(DQ5&gt;DR5,'01_results_input'!F31&gt;'01_results_input'!G31),AND(DQ5&lt;DR5,'01_results_input'!F31&lt;'01_results_input'!G31),AND(DQ5=DR5,'01_results_input'!F31='01_results_input'!G31)),pts_group_toto,0)))</f>
      </c>
      <c r="LI5">
        <f>IF(OR(ISBLANK(DU5),ISBLANK(DV5),ISBLANK('01_results_input'!F32),ISBLANK('01_results_input'!G32)),"",IF(AND(DU5='01_results_input'!F32,DV5='01_results_input'!G32),pts_group_toto+pts_group_exact_bonus,IF(OR(AND(DU5&gt;DV5,'01_results_input'!F32&gt;'01_results_input'!G32),AND(DU5&lt;DV5,'01_results_input'!F32&lt;'01_results_input'!G32),AND(DU5=DV5,'01_results_input'!F32='01_results_input'!G32)),pts_group_toto,0)))</f>
      </c>
      <c r="LJ5">
        <f>IF(OR(ISBLANK(DY5),ISBLANK(DZ5),ISBLANK('01_results_input'!F33),ISBLANK('01_results_input'!G33)),"",IF(AND(DY5='01_results_input'!F33,DZ5='01_results_input'!G33),pts_group_toto+pts_group_exact_bonus,IF(OR(AND(DY5&gt;DZ5,'01_results_input'!F33&gt;'01_results_input'!G33),AND(DY5&lt;DZ5,'01_results_input'!F33&lt;'01_results_input'!G33),AND(DY5=DZ5,'01_results_input'!F33='01_results_input'!G33)),pts_group_toto,0)))</f>
      </c>
      <c r="LK5">
        <f>IF(OR(ISBLANK(EC5),ISBLANK(ED5),ISBLANK('01_results_input'!F34),ISBLANK('01_results_input'!G34)),"",IF(AND(EC5='01_results_input'!F34,ED5='01_results_input'!G34),pts_group_toto+pts_group_exact_bonus,IF(OR(AND(EC5&gt;ED5,'01_results_input'!F34&gt;'01_results_input'!G34),AND(EC5&lt;ED5,'01_results_input'!F34&lt;'01_results_input'!G34),AND(EC5=ED5,'01_results_input'!F34='01_results_input'!G34)),pts_group_toto,0)))</f>
      </c>
      <c r="LL5">
        <f>IF(OR(ISBLANK(EG5),ISBLANK(EH5),ISBLANK('01_results_input'!F35),ISBLANK('01_results_input'!G35)),"",IF(AND(EG5='01_results_input'!F35,EH5='01_results_input'!G35),pts_group_toto+pts_group_exact_bonus,IF(OR(AND(EG5&gt;EH5,'01_results_input'!F35&gt;'01_results_input'!G35),AND(EG5&lt;EH5,'01_results_input'!F35&lt;'01_results_input'!G35),AND(EG5=EH5,'01_results_input'!F35='01_results_input'!G35)),pts_group_toto,0)))</f>
      </c>
      <c r="LM5">
        <f>IF(OR(ISBLANK(EK5),ISBLANK(EL5),ISBLANK('01_results_input'!F36),ISBLANK('01_results_input'!G36)),"",IF(AND(EK5='01_results_input'!F36,EL5='01_results_input'!G36),pts_group_toto+pts_group_exact_bonus,IF(OR(AND(EK5&gt;EL5,'01_results_input'!F36&gt;'01_results_input'!G36),AND(EK5&lt;EL5,'01_results_input'!F36&lt;'01_results_input'!G36),AND(EK5=EL5,'01_results_input'!F36='01_results_input'!G36)),pts_group_toto,0)))</f>
      </c>
      <c r="LN5">
        <f>IF(OR(ISBLANK(EO5),ISBLANK(EP5),ISBLANK('01_results_input'!F37),ISBLANK('01_results_input'!G37)),"",IF(AND(EO5='01_results_input'!F37,EP5='01_results_input'!G37),pts_group_toto+pts_group_exact_bonus,IF(OR(AND(EO5&gt;EP5,'01_results_input'!F37&gt;'01_results_input'!G37),AND(EO5&lt;EP5,'01_results_input'!F37&lt;'01_results_input'!G37),AND(EO5=EP5,'01_results_input'!F37='01_results_input'!G37)),pts_group_toto,0)))</f>
      </c>
      <c r="LO5">
        <f>IF(OR(ISBLANK(ES5),ISBLANK(ET5),ISBLANK('01_results_input'!F38),ISBLANK('01_results_input'!G38)),"",IF(AND(ES5='01_results_input'!F38,ET5='01_results_input'!G38),pts_group_toto+pts_group_exact_bonus,IF(OR(AND(ES5&gt;ET5,'01_results_input'!F38&gt;'01_results_input'!G38),AND(ES5&lt;ET5,'01_results_input'!F38&lt;'01_results_input'!G38),AND(ES5=ET5,'01_results_input'!F38='01_results_input'!G38)),pts_group_toto,0)))</f>
      </c>
      <c r="LP5">
        <f>IF(OR(ISBLANK(EW5),ISBLANK(EX5),ISBLANK('01_results_input'!F39),ISBLANK('01_results_input'!G39)),"",IF(AND(EW5='01_results_input'!F39,EX5='01_results_input'!G39),pts_group_toto+pts_group_exact_bonus,IF(OR(AND(EW5&gt;EX5,'01_results_input'!F39&gt;'01_results_input'!G39),AND(EW5&lt;EX5,'01_results_input'!F39&lt;'01_results_input'!G39),AND(EW5=EX5,'01_results_input'!F39='01_results_input'!G39)),pts_group_toto,0)))</f>
      </c>
      <c r="LQ5">
        <f>IF(OR(ISBLANK(FA5),ISBLANK(FB5),ISBLANK('01_results_input'!F40),ISBLANK('01_results_input'!G40)),"",IF(AND(FA5='01_results_input'!F40,FB5='01_results_input'!G40),pts_group_toto+pts_group_exact_bonus,IF(OR(AND(FA5&gt;FB5,'01_results_input'!F40&gt;'01_results_input'!G40),AND(FA5&lt;FB5,'01_results_input'!F40&lt;'01_results_input'!G40),AND(FA5=FB5,'01_results_input'!F40='01_results_input'!G40)),pts_group_toto,0)))</f>
      </c>
      <c r="LR5">
        <f>IF(OR(ISBLANK(FE5),ISBLANK(FF5),ISBLANK('01_results_input'!F41),ISBLANK('01_results_input'!G41)),"",IF(AND(FE5='01_results_input'!F41,FF5='01_results_input'!G41),pts_group_toto+pts_group_exact_bonus,IF(OR(AND(FE5&gt;FF5,'01_results_input'!F41&gt;'01_results_input'!G41),AND(FE5&lt;FF5,'01_results_input'!F41&lt;'01_results_input'!G41),AND(FE5=FF5,'01_results_input'!F41='01_results_input'!G41)),pts_group_toto,0)))</f>
      </c>
      <c r="LS5">
        <f>IF(OR(ISBLANK(FI5),ISBLANK(FJ5),ISBLANK('01_results_input'!F42),ISBLANK('01_results_input'!G42)),"",IF(AND(FI5='01_results_input'!F42,FJ5='01_results_input'!G42),pts_group_toto+pts_group_exact_bonus,IF(OR(AND(FI5&gt;FJ5,'01_results_input'!F42&gt;'01_results_input'!G42),AND(FI5&lt;FJ5,'01_results_input'!F42&lt;'01_results_input'!G42),AND(FI5=FJ5,'01_results_input'!F42='01_results_input'!G42)),pts_group_toto,0)))</f>
      </c>
      <c r="LT5">
        <f>IF(OR(ISBLANK(FM5),ISBLANK(FN5),ISBLANK('01_results_input'!F43),ISBLANK('01_results_input'!G43)),"",IF(AND(FM5='01_results_input'!F43,FN5='01_results_input'!G43),pts_group_toto+pts_group_exact_bonus,IF(OR(AND(FM5&gt;FN5,'01_results_input'!F43&gt;'01_results_input'!G43),AND(FM5&lt;FN5,'01_results_input'!F43&lt;'01_results_input'!G43),AND(FM5=FN5,'01_results_input'!F43='01_results_input'!G43)),pts_group_toto,0)))</f>
      </c>
      <c r="LU5">
        <f>IF(OR(ISBLANK(FQ5),ISBLANK(FR5),ISBLANK('01_results_input'!F44),ISBLANK('01_results_input'!G44)),"",IF(AND(FQ5='01_results_input'!F44,FR5='01_results_input'!G44),pts_group_toto+pts_group_exact_bonus,IF(OR(AND(FQ5&gt;FR5,'01_results_input'!F44&gt;'01_results_input'!G44),AND(FQ5&lt;FR5,'01_results_input'!F44&lt;'01_results_input'!G44),AND(FQ5=FR5,'01_results_input'!F44='01_results_input'!G44)),pts_group_toto,0)))</f>
      </c>
      <c r="LV5">
        <f>IF(OR(ISBLANK(FU5),ISBLANK(FV5),ISBLANK('01_results_input'!F45),ISBLANK('01_results_input'!G45)),"",IF(AND(FU5='01_results_input'!F45,FV5='01_results_input'!G45),pts_group_toto+pts_group_exact_bonus,IF(OR(AND(FU5&gt;FV5,'01_results_input'!F45&gt;'01_results_input'!G45),AND(FU5&lt;FV5,'01_results_input'!F45&lt;'01_results_input'!G45),AND(FU5=FV5,'01_results_input'!F45='01_results_input'!G45)),pts_group_toto,0)))</f>
      </c>
      <c r="LW5">
        <f>IF(OR(ISBLANK(FY5),ISBLANK(FZ5),ISBLANK('01_results_input'!F46),ISBLANK('01_results_input'!G46)),"",IF(AND(FY5='01_results_input'!F46,FZ5='01_results_input'!G46),pts_group_toto+pts_group_exact_bonus,IF(OR(AND(FY5&gt;FZ5,'01_results_input'!F46&gt;'01_results_input'!G46),AND(FY5&lt;FZ5,'01_results_input'!F46&lt;'01_results_input'!G46),AND(FY5=FZ5,'01_results_input'!F46='01_results_input'!G46)),pts_group_toto,0)))</f>
      </c>
      <c r="LX5">
        <f>IF(OR(ISBLANK(GC5),ISBLANK(GD5),ISBLANK('01_results_input'!F47),ISBLANK('01_results_input'!G47)),"",IF(AND(GC5='01_results_input'!F47,GD5='01_results_input'!G47),pts_group_toto+pts_group_exact_bonus,IF(OR(AND(GC5&gt;GD5,'01_results_input'!F47&gt;'01_results_input'!G47),AND(GC5&lt;GD5,'01_results_input'!F47&lt;'01_results_input'!G47),AND(GC5=GD5,'01_results_input'!F47='01_results_input'!G47)),pts_group_toto,0)))</f>
      </c>
      <c r="LY5">
        <f>IF(OR(ISBLANK(GG5),ISBLANK(GH5),ISBLANK('01_results_input'!F48),ISBLANK('01_results_input'!G48)),"",IF(AND(GG5='01_results_input'!F48,GH5='01_results_input'!G48),pts_group_toto+pts_group_exact_bonus,IF(OR(AND(GG5&gt;GH5,'01_results_input'!F48&gt;'01_results_input'!G48),AND(GG5&lt;GH5,'01_results_input'!F48&lt;'01_results_input'!G48),AND(GG5=GH5,'01_results_input'!F48='01_results_input'!G48)),pts_group_toto,0)))</f>
      </c>
      <c r="LZ5">
        <f>IF(OR(ISBLANK(GK5),ISBLANK(GL5),ISBLANK('01_results_input'!F49),ISBLANK('01_results_input'!G49)),"",IF(AND(GK5='01_results_input'!F49,GL5='01_results_input'!G49),pts_group_toto+pts_group_exact_bonus,IF(OR(AND(GK5&gt;GL5,'01_results_input'!F49&gt;'01_results_input'!G49),AND(GK5&lt;GL5,'01_results_input'!F49&lt;'01_results_input'!G49),AND(GK5=GL5,'01_results_input'!F49='01_results_input'!G49)),pts_group_toto,0)))</f>
      </c>
      <c r="MA5">
        <f>IF(OR(ISBLANK(GO5),ISBLANK(GP5),ISBLANK('01_results_input'!F50),ISBLANK('01_results_input'!G50)),"",IF(AND(GO5='01_results_input'!F50,GP5='01_results_input'!G50),pts_group_toto+pts_group_exact_bonus,IF(OR(AND(GO5&gt;GP5,'01_results_input'!F50&gt;'01_results_input'!G50),AND(GO5&lt;GP5,'01_results_input'!F50&lt;'01_results_input'!G50),AND(GO5=GP5,'01_results_input'!F50='01_results_input'!G50)),pts_group_toto,0)))</f>
      </c>
      <c r="MB5">
        <f>IF(OR(ISBLANK(GS5),ISBLANK(GT5),ISBLANK('01_results_input'!F51),ISBLANK('01_results_input'!G51)),"",IF(AND(GS5='01_results_input'!F51,GT5='01_results_input'!G51),pts_group_toto+pts_group_exact_bonus,IF(OR(AND(GS5&gt;GT5,'01_results_input'!F51&gt;'01_results_input'!G51),AND(GS5&lt;GT5,'01_results_input'!F51&lt;'01_results_input'!G51),AND(GS5=GT5,'01_results_input'!F51='01_results_input'!G51)),pts_group_toto,0)))</f>
      </c>
      <c r="MC5">
        <f>IF(OR(ISBLANK(GW5),ISBLANK(GX5),ISBLANK('01_results_input'!F52),ISBLANK('01_results_input'!G52)),"",IF(AND(GW5='01_results_input'!F52,GX5='01_results_input'!G52),pts_group_toto+pts_group_exact_bonus,IF(OR(AND(GW5&gt;GX5,'01_results_input'!F52&gt;'01_results_input'!G52),AND(GW5&lt;GX5,'01_results_input'!F52&lt;'01_results_input'!G52),AND(GW5=GX5,'01_results_input'!F52='01_results_input'!G52)),pts_group_toto,0)))</f>
      </c>
      <c r="MD5">
        <f>IF(OR(ISBLANK(HA5),ISBLANK(HB5),ISBLANK('01_results_input'!F53),ISBLANK('01_results_input'!G53)),"",IF(AND(HA5='01_results_input'!F53,HB5='01_results_input'!G53),pts_group_toto+pts_group_exact_bonus,IF(OR(AND(HA5&gt;HB5,'01_results_input'!F53&gt;'01_results_input'!G53),AND(HA5&lt;HB5,'01_results_input'!F53&lt;'01_results_input'!G53),AND(HA5=HB5,'01_results_input'!F53='01_results_input'!G53)),pts_group_toto,0)))</f>
      </c>
      <c r="ME5">
        <f>IF(OR(ISBLANK(HE5),ISBLANK(HF5),ISBLANK('01_results_input'!F54),ISBLANK('01_results_input'!G54)),"",IF(AND(HE5='01_results_input'!F54,HF5='01_results_input'!G54),pts_group_toto+pts_group_exact_bonus,IF(OR(AND(HE5&gt;HF5,'01_results_input'!F54&gt;'01_results_input'!G54),AND(HE5&lt;HF5,'01_results_input'!F54&lt;'01_results_input'!G54),AND(HE5=HF5,'01_results_input'!F54='01_results_input'!G54)),pts_group_toto,0)))</f>
      </c>
      <c r="MF5">
        <f>IF(OR(ISBLANK(HI5),ISBLANK(HJ5),ISBLANK('01_results_input'!F55),ISBLANK('01_results_input'!G55)),"",IF(AND(HI5='01_results_input'!F55,HJ5='01_results_input'!G55),pts_group_toto+pts_group_exact_bonus,IF(OR(AND(HI5&gt;HJ5,'01_results_input'!F55&gt;'01_results_input'!G55),AND(HI5&lt;HJ5,'01_results_input'!F55&lt;'01_results_input'!G55),AND(HI5=HJ5,'01_results_input'!F55='01_results_input'!G55)),pts_group_toto,0)))</f>
      </c>
      <c r="MG5">
        <f>IF(OR(ISBLANK(HM5),ISBLANK(HN5),ISBLANK('01_results_input'!F56),ISBLANK('01_results_input'!G56)),"",IF(AND(HM5='01_results_input'!F56,HN5='01_results_input'!G56),pts_group_toto+pts_group_exact_bonus,IF(OR(AND(HM5&gt;HN5,'01_results_input'!F56&gt;'01_results_input'!G56),AND(HM5&lt;HN5,'01_results_input'!F56&lt;'01_results_input'!G56),AND(HM5=HN5,'01_results_input'!F56='01_results_input'!G56)),pts_group_toto,0)))</f>
      </c>
      <c r="MH5">
        <f>IF(OR(ISBLANK(HQ5),ISBLANK(HR5),ISBLANK('01_results_input'!F57),ISBLANK('01_results_input'!G57)),"",IF(AND(HQ5='01_results_input'!F57,HR5='01_results_input'!G57),pts_group_toto+pts_group_exact_bonus,IF(OR(AND(HQ5&gt;HR5,'01_results_input'!F57&gt;'01_results_input'!G57),AND(HQ5&lt;HR5,'01_results_input'!F57&lt;'01_results_input'!G57),AND(HQ5=HR5,'01_results_input'!F57='01_results_input'!G57)),pts_group_toto,0)))</f>
      </c>
      <c r="MI5">
        <f>IF(OR(ISBLANK(HU5),ISBLANK(HV5),ISBLANK('01_results_input'!F58),ISBLANK('01_results_input'!G58)),"",IF(AND(HU5='01_results_input'!F58,HV5='01_results_input'!G58),pts_group_toto+pts_group_exact_bonus,IF(OR(AND(HU5&gt;HV5,'01_results_input'!F58&gt;'01_results_input'!G58),AND(HU5&lt;HV5,'01_results_input'!F58&lt;'01_results_input'!G58),AND(HU5=HV5,'01_results_input'!F58='01_results_input'!G58)),pts_group_toto,0)))</f>
      </c>
      <c r="MJ5">
        <f>IF(OR(ISBLANK(HY5),ISBLANK(HZ5),ISBLANK('01_results_input'!F59),ISBLANK('01_results_input'!G59)),"",IF(AND(HY5='01_results_input'!F59,HZ5='01_results_input'!G59),pts_group_toto+pts_group_exact_bonus,IF(OR(AND(HY5&gt;HZ5,'01_results_input'!F59&gt;'01_results_input'!G59),AND(HY5&lt;HZ5,'01_results_input'!F59&lt;'01_results_input'!G59),AND(HY5=HZ5,'01_results_input'!F59='01_results_input'!G59)),pts_group_toto,0)))</f>
      </c>
      <c r="MK5">
        <f>IF(OR(ISBLANK(IC5),ISBLANK(ID5),ISBLANK('01_results_input'!F60),ISBLANK('01_results_input'!G60)),"",IF(AND(IC5='01_results_input'!F60,ID5='01_results_input'!G60),pts_group_toto+pts_group_exact_bonus,IF(OR(AND(IC5&gt;ID5,'01_results_input'!F60&gt;'01_results_input'!G60),AND(IC5&lt;ID5,'01_results_input'!F60&lt;'01_results_input'!G60),AND(IC5=ID5,'01_results_input'!F60='01_results_input'!G60)),pts_group_toto,0)))</f>
      </c>
      <c r="ML5">
        <f>IF(OR(ISBLANK(IG5),ISBLANK(IH5),ISBLANK('01_results_input'!F61),ISBLANK('01_results_input'!G61)),"",IF(AND(IG5='01_results_input'!F61,IH5='01_results_input'!G61),pts_group_toto+pts_group_exact_bonus,IF(OR(AND(IG5&gt;IH5,'01_results_input'!F61&gt;'01_results_input'!G61),AND(IG5&lt;IH5,'01_results_input'!F61&lt;'01_results_input'!G61),AND(IG5=IH5,'01_results_input'!F61='01_results_input'!G61)),pts_group_toto,0)))</f>
      </c>
      <c r="MM5">
        <f>IF(OR(ISBLANK(IK5),ISBLANK(IL5),ISBLANK('01_results_input'!F62),ISBLANK('01_results_input'!G62)),"",IF(AND(IK5='01_results_input'!F62,IL5='01_results_input'!G62),pts_group_toto+pts_group_exact_bonus,IF(OR(AND(IK5&gt;IL5,'01_results_input'!F62&gt;'01_results_input'!G62),AND(IK5&lt;IL5,'01_results_input'!F62&lt;'01_results_input'!G62),AND(IK5=IL5,'01_results_input'!F62='01_results_input'!G62)),pts_group_toto,0)))</f>
      </c>
      <c r="MN5">
        <f>IF(OR(ISBLANK(IO5),ISBLANK(IP5),ISBLANK('01_results_input'!F63),ISBLANK('01_results_input'!G63)),"",IF(AND(IO5='01_results_input'!F63,IP5='01_results_input'!G63),pts_group_toto+pts_group_exact_bonus,IF(OR(AND(IO5&gt;IP5,'01_results_input'!F63&gt;'01_results_input'!G63),AND(IO5&lt;IP5,'01_results_input'!F63&lt;'01_results_input'!G63),AND(IO5=IP5,'01_results_input'!F63='01_results_input'!G63)),pts_group_toto,0)))</f>
      </c>
      <c r="MO5">
        <f>IF(OR(ISBLANK(IS5),ISBLANK(IT5),ISBLANK('01_results_input'!F64),ISBLANK('01_results_input'!G64)),"",IF(AND(IS5='01_results_input'!F64,IT5='01_results_input'!G64),pts_group_toto+pts_group_exact_bonus,IF(OR(AND(IS5&gt;IT5,'01_results_input'!F64&gt;'01_results_input'!G64),AND(IS5&lt;IT5,'01_results_input'!F64&lt;'01_results_input'!G64),AND(IS5=IT5,'01_results_input'!F64='01_results_input'!G64)),pts_group_toto,0)))</f>
      </c>
      <c r="MP5">
        <f>IF(OR(ISBLANK(IW5),ISBLANK(IX5),ISBLANK('01_results_input'!F65),ISBLANK('01_results_input'!G65)),"",IF(AND(IW5='01_results_input'!F65,IX5='01_results_input'!G65),pts_group_toto+pts_group_exact_bonus,IF(OR(AND(IW5&gt;IX5,'01_results_input'!F65&gt;'01_results_input'!G65),AND(IW5&lt;IX5,'01_results_input'!F65&lt;'01_results_input'!G65),AND(IW5=IX5,'01_results_input'!F65='01_results_input'!G65)),pts_group_toto,0)))</f>
      </c>
      <c r="MQ5">
        <f>IF(OR(ISBLANK(JA5),ISBLANK(JB5),ISBLANK('01_results_input'!F66),ISBLANK('01_results_input'!G66)),"",IF(AND(JA5='01_results_input'!F66,JB5='01_results_input'!G66),pts_group_toto+pts_group_exact_bonus,IF(OR(AND(JA5&gt;JB5,'01_results_input'!F66&gt;'01_results_input'!G66),AND(JA5&lt;JB5,'01_results_input'!F66&lt;'01_results_input'!G66),AND(JA5=JB5,'01_results_input'!F66='01_results_input'!G66)),pts_group_toto,0)))</f>
      </c>
      <c r="MR5">
        <f>IF(OR(ISBLANK(JE5),ISBLANK(JF5),ISBLANK('01_results_input'!F67),ISBLANK('01_results_input'!G67)),"",IF(AND(JE5='01_results_input'!F67,JF5='01_results_input'!G67),pts_group_toto+pts_group_exact_bonus,IF(OR(AND(JE5&gt;JF5,'01_results_input'!F67&gt;'01_results_input'!G67),AND(JE5&lt;JF5,'01_results_input'!F67&lt;'01_results_input'!G67),AND(JE5=JF5,'01_results_input'!F67='01_results_input'!G67)),pts_group_toto,0)))</f>
      </c>
      <c r="MS5">
        <f>IF(OR(ISBLANK(JI5),ISBLANK(JJ5),ISBLANK('01_results_input'!F68),ISBLANK('01_results_input'!G68)),"",IF(AND(JI5='01_results_input'!F68,JJ5='01_results_input'!G68),pts_group_toto+pts_group_exact_bonus,IF(OR(AND(JI5&gt;JJ5,'01_results_input'!F68&gt;'01_results_input'!G68),AND(JI5&lt;JJ5,'01_results_input'!F68&lt;'01_results_input'!G68),AND(JI5=JJ5,'01_results_input'!F68='01_results_input'!G68)),pts_group_toto,0)))</f>
      </c>
      <c r="MT5">
        <f>IF(OR(ISBLANK(JM5),ISBLANK(JN5),ISBLANK('01_results_input'!F69),ISBLANK('01_results_input'!G69)),"",IF(AND(JM5='01_results_input'!F69,JN5='01_results_input'!G69),pts_group_toto+pts_group_exact_bonus,IF(OR(AND(JM5&gt;JN5,'01_results_input'!F69&gt;'01_results_input'!G69),AND(JM5&lt;JN5,'01_results_input'!F69&lt;'01_results_input'!G69),AND(JM5=JN5,'01_results_input'!F69='01_results_input'!G69)),pts_group_toto,0)))</f>
      </c>
      <c r="MU5">
        <f>IF(OR(ISBLANK(JQ5),ISBLANK(JR5),ISBLANK('01_results_input'!F70),ISBLANK('01_results_input'!G70)),"",IF(AND(JQ5='01_results_input'!F70,JR5='01_results_input'!G70),pts_group_toto+pts_group_exact_bonus,IF(OR(AND(JQ5&gt;JR5,'01_results_input'!F70&gt;'01_results_input'!G70),AND(JQ5&lt;JR5,'01_results_input'!F70&lt;'01_results_input'!G70),AND(JQ5=JR5,'01_results_input'!F70='01_results_input'!G70)),pts_group_toto,0)))</f>
      </c>
      <c r="MV5">
        <f>IF(OR(ISBLANK(JU5),ISBLANK(JV5),ISBLANK('01_results_input'!F71),ISBLANK('01_results_input'!G71)),"",IF(AND(JU5='01_results_input'!F71,JV5='01_results_input'!G71),pts_group_toto+pts_group_exact_bonus,IF(OR(AND(JU5&gt;JV5,'01_results_input'!F71&gt;'01_results_input'!G71),AND(JU5&lt;JV5,'01_results_input'!F71&lt;'01_results_input'!G71),AND(JU5=JV5,'01_results_input'!F71='01_results_input'!G71)),pts_group_toto,0)))</f>
      </c>
      <c r="MW5">
        <f>IF(OR(ISBLANK(JY5),ISBLANK(JZ5),ISBLANK('01_results_input'!F72),ISBLANK('01_results_input'!G72)),"",IF(AND(JY5='01_results_input'!F72,JZ5='01_results_input'!G72),pts_group_toto+pts_group_exact_bonus,IF(OR(AND(JY5&gt;JZ5,'01_results_input'!F72&gt;'01_results_input'!G72),AND(JY5&lt;JZ5,'01_results_input'!F72&lt;'01_results_input'!G72),AND(JY5=JZ5,'01_results_input'!F72='01_results_input'!G72)),pts_group_toto,0)))</f>
      </c>
      <c r="MX5">
        <f>IF(OR(ISBLANK(KC5),ISBLANK(KD5),ISBLANK('01_results_input'!F73),ISBLANK('01_results_input'!G73)),"",IF(AND(KC5='01_results_input'!F73,KD5='01_results_input'!G73),pts_group_toto+pts_group_exact_bonus,IF(OR(AND(KC5&gt;KD5,'01_results_input'!F73&gt;'01_results_input'!G73),AND(KC5&lt;KD5,'01_results_input'!F73&lt;'01_results_input'!G73),AND(KC5=KD5,'01_results_input'!F73='01_results_input'!G73)),pts_group_toto,0)))</f>
      </c>
      <c r="MY5">
        <f>SUM(KE5:MX5)</f>
      </c>
    </row>
    <row r="6" spans="1:363" x14ac:dyDescent="0.25">
      <c r="A6" t="s">
        <v>562</v>
      </c>
      <c r="B6" t="s">
        <v>563</v>
      </c>
      <c r="C6" t="s">
        <v>26</v>
      </c>
      <c r="D6" t="s">
        <v>27</v>
      </c>
      <c r="E6">
        <v>1</v>
      </c>
      <c r="F6">
        <v>2</v>
      </c>
      <c r="G6" t="s">
        <v>29</v>
      </c>
      <c r="H6" t="s">
        <v>30</v>
      </c>
      <c r="I6">
        <v>2</v>
      </c>
      <c r="J6">
        <v>2</v>
      </c>
      <c r="K6" t="s">
        <v>26</v>
      </c>
      <c r="L6" t="s">
        <v>29</v>
      </c>
      <c r="M6">
        <v>2</v>
      </c>
      <c r="N6">
        <v>1</v>
      </c>
      <c r="O6" t="s">
        <v>30</v>
      </c>
      <c r="P6" t="s">
        <v>27</v>
      </c>
      <c r="Q6">
        <v>0</v>
      </c>
      <c r="R6">
        <v>0</v>
      </c>
      <c r="S6" t="s">
        <v>30</v>
      </c>
      <c r="T6" t="s">
        <v>26</v>
      </c>
      <c r="U6">
        <v>3</v>
      </c>
      <c r="V6">
        <v>1</v>
      </c>
      <c r="W6" t="s">
        <v>27</v>
      </c>
      <c r="X6" t="s">
        <v>29</v>
      </c>
      <c r="Y6">
        <v>0</v>
      </c>
      <c r="Z6">
        <v>2</v>
      </c>
      <c r="AA6" t="s">
        <v>37</v>
      </c>
      <c r="AB6" t="s">
        <v>38</v>
      </c>
      <c r="AC6">
        <v>2</v>
      </c>
      <c r="AD6">
        <v>2</v>
      </c>
      <c r="AE6" t="s">
        <v>40</v>
      </c>
      <c r="AF6" t="s">
        <v>41</v>
      </c>
      <c r="AG6">
        <v>0</v>
      </c>
      <c r="AH6">
        <v>1</v>
      </c>
      <c r="AI6" t="s">
        <v>37</v>
      </c>
      <c r="AJ6" t="s">
        <v>40</v>
      </c>
      <c r="AK6">
        <v>3</v>
      </c>
      <c r="AL6">
        <v>1</v>
      </c>
      <c r="AM6" t="s">
        <v>41</v>
      </c>
      <c r="AN6" t="s">
        <v>38</v>
      </c>
      <c r="AO6">
        <v>0</v>
      </c>
      <c r="AP6">
        <v>0</v>
      </c>
      <c r="AQ6" t="s">
        <v>41</v>
      </c>
      <c r="AR6" t="s">
        <v>37</v>
      </c>
      <c r="AS6">
        <v>0</v>
      </c>
      <c r="AT6">
        <v>2</v>
      </c>
      <c r="AU6" t="s">
        <v>38</v>
      </c>
      <c r="AV6" t="s">
        <v>40</v>
      </c>
      <c r="AW6">
        <v>3</v>
      </c>
      <c r="AX6">
        <v>2</v>
      </c>
      <c r="AY6" t="s">
        <v>48</v>
      </c>
      <c r="AZ6" t="s">
        <v>49</v>
      </c>
      <c r="BA6">
        <v>1</v>
      </c>
      <c r="BB6">
        <v>2</v>
      </c>
      <c r="BC6" t="s">
        <v>51</v>
      </c>
      <c r="BD6" t="s">
        <v>52</v>
      </c>
      <c r="BE6">
        <v>2</v>
      </c>
      <c r="BF6">
        <v>2</v>
      </c>
      <c r="BG6" t="s">
        <v>48</v>
      </c>
      <c r="BH6" t="s">
        <v>51</v>
      </c>
      <c r="BI6">
        <v>3</v>
      </c>
      <c r="BJ6">
        <v>0</v>
      </c>
      <c r="BK6" t="s">
        <v>52</v>
      </c>
      <c r="BL6" t="s">
        <v>49</v>
      </c>
      <c r="BM6">
        <v>2</v>
      </c>
      <c r="BN6">
        <v>2</v>
      </c>
      <c r="BO6" t="s">
        <v>52</v>
      </c>
      <c r="BP6" t="s">
        <v>48</v>
      </c>
      <c r="BQ6">
        <v>2</v>
      </c>
      <c r="BR6">
        <v>2</v>
      </c>
      <c r="BS6" t="s">
        <v>49</v>
      </c>
      <c r="BT6" t="s">
        <v>51</v>
      </c>
      <c r="BU6">
        <v>2</v>
      </c>
      <c r="BV6">
        <v>2</v>
      </c>
      <c r="BW6" t="s">
        <v>59</v>
      </c>
      <c r="BX6" t="s">
        <v>60</v>
      </c>
      <c r="BY6">
        <v>3</v>
      </c>
      <c r="BZ6">
        <v>2</v>
      </c>
      <c r="CA6" t="s">
        <v>62</v>
      </c>
      <c r="CB6" t="s">
        <v>63</v>
      </c>
      <c r="CC6">
        <v>3</v>
      </c>
      <c r="CD6">
        <v>1</v>
      </c>
      <c r="CE6" t="s">
        <v>59</v>
      </c>
      <c r="CF6" t="s">
        <v>62</v>
      </c>
      <c r="CG6">
        <v>0</v>
      </c>
      <c r="CH6">
        <v>0</v>
      </c>
      <c r="CI6" t="s">
        <v>63</v>
      </c>
      <c r="CJ6" t="s">
        <v>60</v>
      </c>
      <c r="CK6">
        <v>3</v>
      </c>
      <c r="CL6">
        <v>1</v>
      </c>
      <c r="CM6" t="s">
        <v>63</v>
      </c>
      <c r="CN6" t="s">
        <v>59</v>
      </c>
      <c r="CO6">
        <v>0</v>
      </c>
      <c r="CP6">
        <v>1</v>
      </c>
      <c r="CQ6" t="s">
        <v>60</v>
      </c>
      <c r="CR6" t="s">
        <v>62</v>
      </c>
      <c r="CS6">
        <v>1</v>
      </c>
      <c r="CT6">
        <v>1</v>
      </c>
      <c r="CU6" t="s">
        <v>70</v>
      </c>
      <c r="CV6" t="s">
        <v>71</v>
      </c>
      <c r="CW6">
        <v>2</v>
      </c>
      <c r="CX6">
        <v>2</v>
      </c>
      <c r="CY6" t="s">
        <v>73</v>
      </c>
      <c r="CZ6" t="s">
        <v>74</v>
      </c>
      <c r="DA6">
        <v>1</v>
      </c>
      <c r="DB6">
        <v>2</v>
      </c>
      <c r="DC6" t="s">
        <v>70</v>
      </c>
      <c r="DD6" t="s">
        <v>73</v>
      </c>
      <c r="DE6">
        <v>2</v>
      </c>
      <c r="DF6">
        <v>0</v>
      </c>
      <c r="DG6" t="s">
        <v>74</v>
      </c>
      <c r="DH6" t="s">
        <v>71</v>
      </c>
      <c r="DI6">
        <v>2</v>
      </c>
      <c r="DJ6">
        <v>2</v>
      </c>
      <c r="DK6" t="s">
        <v>74</v>
      </c>
      <c r="DL6" t="s">
        <v>70</v>
      </c>
      <c r="DM6">
        <v>1</v>
      </c>
      <c r="DN6">
        <v>0</v>
      </c>
      <c r="DO6" t="s">
        <v>71</v>
      </c>
      <c r="DP6" t="s">
        <v>73</v>
      </c>
      <c r="DQ6">
        <v>1</v>
      </c>
      <c r="DR6">
        <v>1</v>
      </c>
      <c r="DS6" t="s">
        <v>81</v>
      </c>
      <c r="DT6" t="s">
        <v>82</v>
      </c>
      <c r="DU6">
        <v>0</v>
      </c>
      <c r="DV6">
        <v>0</v>
      </c>
      <c r="DW6" t="s">
        <v>84</v>
      </c>
      <c r="DX6" t="s">
        <v>85</v>
      </c>
      <c r="DY6">
        <v>2</v>
      </c>
      <c r="DZ6">
        <v>2</v>
      </c>
      <c r="EA6" t="s">
        <v>81</v>
      </c>
      <c r="EB6" t="s">
        <v>84</v>
      </c>
      <c r="EC6">
        <v>3</v>
      </c>
      <c r="ED6">
        <v>2</v>
      </c>
      <c r="EE6" t="s">
        <v>85</v>
      </c>
      <c r="EF6" t="s">
        <v>82</v>
      </c>
      <c r="EG6">
        <v>1</v>
      </c>
      <c r="EH6">
        <v>2</v>
      </c>
      <c r="EI6" t="s">
        <v>85</v>
      </c>
      <c r="EJ6" t="s">
        <v>81</v>
      </c>
      <c r="EK6">
        <v>2</v>
      </c>
      <c r="EL6">
        <v>2</v>
      </c>
      <c r="EM6" t="s">
        <v>82</v>
      </c>
      <c r="EN6" t="s">
        <v>84</v>
      </c>
      <c r="EO6">
        <v>1</v>
      </c>
      <c r="EP6">
        <v>0</v>
      </c>
      <c r="EQ6" t="s">
        <v>92</v>
      </c>
      <c r="ER6" t="s">
        <v>93</v>
      </c>
      <c r="ES6">
        <v>0</v>
      </c>
      <c r="ET6">
        <v>0</v>
      </c>
      <c r="EU6" t="s">
        <v>95</v>
      </c>
      <c r="EV6" t="s">
        <v>96</v>
      </c>
      <c r="EW6">
        <v>2</v>
      </c>
      <c r="EX6">
        <v>2</v>
      </c>
      <c r="EY6" t="s">
        <v>92</v>
      </c>
      <c r="EZ6" t="s">
        <v>95</v>
      </c>
      <c r="FA6">
        <v>1</v>
      </c>
      <c r="FB6">
        <v>1</v>
      </c>
      <c r="FC6" t="s">
        <v>96</v>
      </c>
      <c r="FD6" t="s">
        <v>93</v>
      </c>
      <c r="FE6">
        <v>1</v>
      </c>
      <c r="FF6">
        <v>1</v>
      </c>
      <c r="FG6" t="s">
        <v>96</v>
      </c>
      <c r="FH6" t="s">
        <v>92</v>
      </c>
      <c r="FI6">
        <v>0</v>
      </c>
      <c r="FJ6">
        <v>2</v>
      </c>
      <c r="FK6" t="s">
        <v>93</v>
      </c>
      <c r="FL6" t="s">
        <v>95</v>
      </c>
      <c r="FM6">
        <v>0</v>
      </c>
      <c r="FN6">
        <v>2</v>
      </c>
      <c r="FO6" t="s">
        <v>103</v>
      </c>
      <c r="FP6" t="s">
        <v>104</v>
      </c>
      <c r="FQ6">
        <v>1</v>
      </c>
      <c r="FR6">
        <v>1</v>
      </c>
      <c r="FS6" t="s">
        <v>106</v>
      </c>
      <c r="FT6" t="s">
        <v>107</v>
      </c>
      <c r="FU6">
        <v>0</v>
      </c>
      <c r="FV6">
        <v>2</v>
      </c>
      <c r="FW6" t="s">
        <v>103</v>
      </c>
      <c r="FX6" t="s">
        <v>106</v>
      </c>
      <c r="FY6">
        <v>0</v>
      </c>
      <c r="FZ6">
        <v>1</v>
      </c>
      <c r="GA6" t="s">
        <v>107</v>
      </c>
      <c r="GB6" t="s">
        <v>104</v>
      </c>
      <c r="GC6">
        <v>2</v>
      </c>
      <c r="GD6">
        <v>0</v>
      </c>
      <c r="GE6" t="s">
        <v>107</v>
      </c>
      <c r="GF6" t="s">
        <v>103</v>
      </c>
      <c r="GG6">
        <v>0</v>
      </c>
      <c r="GH6">
        <v>1</v>
      </c>
      <c r="GI6" t="s">
        <v>104</v>
      </c>
      <c r="GJ6" t="s">
        <v>106</v>
      </c>
      <c r="GK6">
        <v>1</v>
      </c>
      <c r="GL6">
        <v>1</v>
      </c>
      <c r="GM6" t="s">
        <v>114</v>
      </c>
      <c r="GN6" t="s">
        <v>115</v>
      </c>
      <c r="GO6">
        <v>1</v>
      </c>
      <c r="GP6">
        <v>0</v>
      </c>
      <c r="GQ6" t="s">
        <v>117</v>
      </c>
      <c r="GR6" t="s">
        <v>118</v>
      </c>
      <c r="GS6">
        <v>1</v>
      </c>
      <c r="GT6">
        <v>0</v>
      </c>
      <c r="GU6" t="s">
        <v>114</v>
      </c>
      <c r="GV6" t="s">
        <v>117</v>
      </c>
      <c r="GW6">
        <v>2</v>
      </c>
      <c r="GX6">
        <v>2</v>
      </c>
      <c r="GY6" t="s">
        <v>118</v>
      </c>
      <c r="GZ6" t="s">
        <v>115</v>
      </c>
      <c r="HA6">
        <v>0</v>
      </c>
      <c r="HB6">
        <v>0</v>
      </c>
      <c r="HC6" t="s">
        <v>118</v>
      </c>
      <c r="HD6" t="s">
        <v>114</v>
      </c>
      <c r="HE6">
        <v>1</v>
      </c>
      <c r="HF6">
        <v>1</v>
      </c>
      <c r="HG6" t="s">
        <v>115</v>
      </c>
      <c r="HH6" t="s">
        <v>117</v>
      </c>
      <c r="HI6">
        <v>2</v>
      </c>
      <c r="HJ6">
        <v>1</v>
      </c>
      <c r="HK6" t="s">
        <v>125</v>
      </c>
      <c r="HL6" t="s">
        <v>126</v>
      </c>
      <c r="HM6">
        <v>3</v>
      </c>
      <c r="HN6">
        <v>0</v>
      </c>
      <c r="HO6" t="s">
        <v>128</v>
      </c>
      <c r="HP6" t="s">
        <v>129</v>
      </c>
      <c r="HQ6">
        <v>1</v>
      </c>
      <c r="HR6">
        <v>2</v>
      </c>
      <c r="HS6" t="s">
        <v>125</v>
      </c>
      <c r="HT6" t="s">
        <v>128</v>
      </c>
      <c r="HU6">
        <v>1</v>
      </c>
      <c r="HV6">
        <v>1</v>
      </c>
      <c r="HW6" t="s">
        <v>129</v>
      </c>
      <c r="HX6" t="s">
        <v>126</v>
      </c>
      <c r="HY6">
        <v>1</v>
      </c>
      <c r="HZ6">
        <v>1</v>
      </c>
      <c r="IA6" t="s">
        <v>129</v>
      </c>
      <c r="IB6" t="s">
        <v>125</v>
      </c>
      <c r="IC6">
        <v>2</v>
      </c>
      <c r="ID6">
        <v>0</v>
      </c>
      <c r="IE6" t="s">
        <v>126</v>
      </c>
      <c r="IF6" t="s">
        <v>128</v>
      </c>
      <c r="IG6">
        <v>2</v>
      </c>
      <c r="IH6">
        <v>2</v>
      </c>
      <c r="II6" t="s">
        <v>136</v>
      </c>
      <c r="IJ6" t="s">
        <v>137</v>
      </c>
      <c r="IK6">
        <v>2</v>
      </c>
      <c r="IL6">
        <v>2</v>
      </c>
      <c r="IM6" t="s">
        <v>139</v>
      </c>
      <c r="IN6" t="s">
        <v>140</v>
      </c>
      <c r="IO6">
        <v>2</v>
      </c>
      <c r="IP6">
        <v>0</v>
      </c>
      <c r="IQ6" t="s">
        <v>136</v>
      </c>
      <c r="IR6" t="s">
        <v>139</v>
      </c>
      <c r="IS6">
        <v>0</v>
      </c>
      <c r="IT6">
        <v>1</v>
      </c>
      <c r="IU6" t="s">
        <v>140</v>
      </c>
      <c r="IV6" t="s">
        <v>137</v>
      </c>
      <c r="IW6">
        <v>1</v>
      </c>
      <c r="IX6">
        <v>0</v>
      </c>
      <c r="IY6" t="s">
        <v>140</v>
      </c>
      <c r="IZ6" t="s">
        <v>136</v>
      </c>
      <c r="JA6">
        <v>2</v>
      </c>
      <c r="JB6">
        <v>0</v>
      </c>
      <c r="JC6" t="s">
        <v>137</v>
      </c>
      <c r="JD6" t="s">
        <v>139</v>
      </c>
      <c r="JE6">
        <v>0</v>
      </c>
      <c r="JF6">
        <v>1</v>
      </c>
      <c r="JG6" t="s">
        <v>147</v>
      </c>
      <c r="JH6" t="s">
        <v>148</v>
      </c>
      <c r="JI6">
        <v>1</v>
      </c>
      <c r="JJ6">
        <v>1</v>
      </c>
      <c r="JK6" t="s">
        <v>150</v>
      </c>
      <c r="JL6" t="s">
        <v>151</v>
      </c>
      <c r="JM6">
        <v>3</v>
      </c>
      <c r="JN6">
        <v>0</v>
      </c>
      <c r="JO6" t="s">
        <v>147</v>
      </c>
      <c r="JP6" t="s">
        <v>150</v>
      </c>
      <c r="JQ6">
        <v>3</v>
      </c>
      <c r="JR6">
        <v>2</v>
      </c>
      <c r="JS6" t="s">
        <v>151</v>
      </c>
      <c r="JT6" t="s">
        <v>148</v>
      </c>
      <c r="JU6">
        <v>1</v>
      </c>
      <c r="JV6">
        <v>1</v>
      </c>
      <c r="JW6" t="s">
        <v>151</v>
      </c>
      <c r="JX6" t="s">
        <v>147</v>
      </c>
      <c r="JY6">
        <v>2</v>
      </c>
      <c r="JZ6">
        <v>2</v>
      </c>
      <c r="KA6" t="s">
        <v>148</v>
      </c>
      <c r="KB6" t="s">
        <v>150</v>
      </c>
      <c r="KC6">
        <v>2</v>
      </c>
      <c r="KD6">
        <v>0</v>
      </c>
      <c r="KE6">
        <f>IF(OR(ISBLANK(E6),ISBLANK(F6),ISBLANK('01_results_input'!F2),ISBLANK('01_results_input'!G2)),"",IF(AND(E6='01_results_input'!F2,F6='01_results_input'!G2),pts_group_toto+pts_group_exact_bonus,IF(OR(AND(E6&gt;F6,'01_results_input'!F2&gt;'01_results_input'!G2),AND(E6&lt;F6,'01_results_input'!F2&lt;'01_results_input'!G2),AND(E6=F6,'01_results_input'!F2='01_results_input'!G2)),pts_group_toto,0)))</f>
      </c>
      <c r="KF6">
        <f>IF(OR(ISBLANK(I6),ISBLANK(J6),ISBLANK('01_results_input'!F3),ISBLANK('01_results_input'!G3)),"",IF(AND(I6='01_results_input'!F3,J6='01_results_input'!G3),pts_group_toto+pts_group_exact_bonus,IF(OR(AND(I6&gt;J6,'01_results_input'!F3&gt;'01_results_input'!G3),AND(I6&lt;J6,'01_results_input'!F3&lt;'01_results_input'!G3),AND(I6=J6,'01_results_input'!F3='01_results_input'!G3)),pts_group_toto,0)))</f>
      </c>
      <c r="KG6">
        <f>IF(OR(ISBLANK(M6),ISBLANK(N6),ISBLANK('01_results_input'!F4),ISBLANK('01_results_input'!G4)),"",IF(AND(M6='01_results_input'!F4,N6='01_results_input'!G4),pts_group_toto+pts_group_exact_bonus,IF(OR(AND(M6&gt;N6,'01_results_input'!F4&gt;'01_results_input'!G4),AND(M6&lt;N6,'01_results_input'!F4&lt;'01_results_input'!G4),AND(M6=N6,'01_results_input'!F4='01_results_input'!G4)),pts_group_toto,0)))</f>
      </c>
      <c r="KH6">
        <f>IF(OR(ISBLANK(Q6),ISBLANK(R6),ISBLANK('01_results_input'!F5),ISBLANK('01_results_input'!G5)),"",IF(AND(Q6='01_results_input'!F5,R6='01_results_input'!G5),pts_group_toto+pts_group_exact_bonus,IF(OR(AND(Q6&gt;R6,'01_results_input'!F5&gt;'01_results_input'!G5),AND(Q6&lt;R6,'01_results_input'!F5&lt;'01_results_input'!G5),AND(Q6=R6,'01_results_input'!F5='01_results_input'!G5)),pts_group_toto,0)))</f>
      </c>
      <c r="KI6">
        <f>IF(OR(ISBLANK(U6),ISBLANK(V6),ISBLANK('01_results_input'!F6),ISBLANK('01_results_input'!G6)),"",IF(AND(U6='01_results_input'!F6,V6='01_results_input'!G6),pts_group_toto+pts_group_exact_bonus,IF(OR(AND(U6&gt;V6,'01_results_input'!F6&gt;'01_results_input'!G6),AND(U6&lt;V6,'01_results_input'!F6&lt;'01_results_input'!G6),AND(U6=V6,'01_results_input'!F6='01_results_input'!G6)),pts_group_toto,0)))</f>
      </c>
      <c r="KJ6">
        <f>IF(OR(ISBLANK(Y6),ISBLANK(Z6),ISBLANK('01_results_input'!F7),ISBLANK('01_results_input'!G7)),"",IF(AND(Y6='01_results_input'!F7,Z6='01_results_input'!G7),pts_group_toto+pts_group_exact_bonus,IF(OR(AND(Y6&gt;Z6,'01_results_input'!F7&gt;'01_results_input'!G7),AND(Y6&lt;Z6,'01_results_input'!F7&lt;'01_results_input'!G7),AND(Y6=Z6,'01_results_input'!F7='01_results_input'!G7)),pts_group_toto,0)))</f>
      </c>
      <c r="KK6">
        <f>IF(OR(ISBLANK(AC6),ISBLANK(AD6),ISBLANK('01_results_input'!F8),ISBLANK('01_results_input'!G8)),"",IF(AND(AC6='01_results_input'!F8,AD6='01_results_input'!G8),pts_group_toto+pts_group_exact_bonus,IF(OR(AND(AC6&gt;AD6,'01_results_input'!F8&gt;'01_results_input'!G8),AND(AC6&lt;AD6,'01_results_input'!F8&lt;'01_results_input'!G8),AND(AC6=AD6,'01_results_input'!F8='01_results_input'!G8)),pts_group_toto,0)))</f>
      </c>
      <c r="KL6">
        <f>IF(OR(ISBLANK(AG6),ISBLANK(AH6),ISBLANK('01_results_input'!F9),ISBLANK('01_results_input'!G9)),"",IF(AND(AG6='01_results_input'!F9,AH6='01_results_input'!G9),pts_group_toto+pts_group_exact_bonus,IF(OR(AND(AG6&gt;AH6,'01_results_input'!F9&gt;'01_results_input'!G9),AND(AG6&lt;AH6,'01_results_input'!F9&lt;'01_results_input'!G9),AND(AG6=AH6,'01_results_input'!F9='01_results_input'!G9)),pts_group_toto,0)))</f>
      </c>
      <c r="KM6">
        <f>IF(OR(ISBLANK(AK6),ISBLANK(AL6),ISBLANK('01_results_input'!F10),ISBLANK('01_results_input'!G10)),"",IF(AND(AK6='01_results_input'!F10,AL6='01_results_input'!G10),pts_group_toto+pts_group_exact_bonus,IF(OR(AND(AK6&gt;AL6,'01_results_input'!F10&gt;'01_results_input'!G10),AND(AK6&lt;AL6,'01_results_input'!F10&lt;'01_results_input'!G10),AND(AK6=AL6,'01_results_input'!F10='01_results_input'!G10)),pts_group_toto,0)))</f>
      </c>
      <c r="KN6">
        <f>IF(OR(ISBLANK(AO6),ISBLANK(AP6),ISBLANK('01_results_input'!F11),ISBLANK('01_results_input'!G11)),"",IF(AND(AO6='01_results_input'!F11,AP6='01_results_input'!G11),pts_group_toto+pts_group_exact_bonus,IF(OR(AND(AO6&gt;AP6,'01_results_input'!F11&gt;'01_results_input'!G11),AND(AO6&lt;AP6,'01_results_input'!F11&lt;'01_results_input'!G11),AND(AO6=AP6,'01_results_input'!F11='01_results_input'!G11)),pts_group_toto,0)))</f>
      </c>
      <c r="KO6">
        <f>IF(OR(ISBLANK(AS6),ISBLANK(AT6),ISBLANK('01_results_input'!F12),ISBLANK('01_results_input'!G12)),"",IF(AND(AS6='01_results_input'!F12,AT6='01_results_input'!G12),pts_group_toto+pts_group_exact_bonus,IF(OR(AND(AS6&gt;AT6,'01_results_input'!F12&gt;'01_results_input'!G12),AND(AS6&lt;AT6,'01_results_input'!F12&lt;'01_results_input'!G12),AND(AS6=AT6,'01_results_input'!F12='01_results_input'!G12)),pts_group_toto,0)))</f>
      </c>
      <c r="KP6">
        <f>IF(OR(ISBLANK(AW6),ISBLANK(AX6),ISBLANK('01_results_input'!F13),ISBLANK('01_results_input'!G13)),"",IF(AND(AW6='01_results_input'!F13,AX6='01_results_input'!G13),pts_group_toto+pts_group_exact_bonus,IF(OR(AND(AW6&gt;AX6,'01_results_input'!F13&gt;'01_results_input'!G13),AND(AW6&lt;AX6,'01_results_input'!F13&lt;'01_results_input'!G13),AND(AW6=AX6,'01_results_input'!F13='01_results_input'!G13)),pts_group_toto,0)))</f>
      </c>
      <c r="KQ6">
        <f>IF(OR(ISBLANK(BA6),ISBLANK(BB6),ISBLANK('01_results_input'!F14),ISBLANK('01_results_input'!G14)),"",IF(AND(BA6='01_results_input'!F14,BB6='01_results_input'!G14),pts_group_toto+pts_group_exact_bonus,IF(OR(AND(BA6&gt;BB6,'01_results_input'!F14&gt;'01_results_input'!G14),AND(BA6&lt;BB6,'01_results_input'!F14&lt;'01_results_input'!G14),AND(BA6=BB6,'01_results_input'!F14='01_results_input'!G14)),pts_group_toto,0)))</f>
      </c>
      <c r="KR6">
        <f>IF(OR(ISBLANK(BE6),ISBLANK(BF6),ISBLANK('01_results_input'!F15),ISBLANK('01_results_input'!G15)),"",IF(AND(BE6='01_results_input'!F15,BF6='01_results_input'!G15),pts_group_toto+pts_group_exact_bonus,IF(OR(AND(BE6&gt;BF6,'01_results_input'!F15&gt;'01_results_input'!G15),AND(BE6&lt;BF6,'01_results_input'!F15&lt;'01_results_input'!G15),AND(BE6=BF6,'01_results_input'!F15='01_results_input'!G15)),pts_group_toto,0)))</f>
      </c>
      <c r="KS6">
        <f>IF(OR(ISBLANK(BI6),ISBLANK(BJ6),ISBLANK('01_results_input'!F16),ISBLANK('01_results_input'!G16)),"",IF(AND(BI6='01_results_input'!F16,BJ6='01_results_input'!G16),pts_group_toto+pts_group_exact_bonus,IF(OR(AND(BI6&gt;BJ6,'01_results_input'!F16&gt;'01_results_input'!G16),AND(BI6&lt;BJ6,'01_results_input'!F16&lt;'01_results_input'!G16),AND(BI6=BJ6,'01_results_input'!F16='01_results_input'!G16)),pts_group_toto,0)))</f>
      </c>
      <c r="KT6">
        <f>IF(OR(ISBLANK(BM6),ISBLANK(BN6),ISBLANK('01_results_input'!F17),ISBLANK('01_results_input'!G17)),"",IF(AND(BM6='01_results_input'!F17,BN6='01_results_input'!G17),pts_group_toto+pts_group_exact_bonus,IF(OR(AND(BM6&gt;BN6,'01_results_input'!F17&gt;'01_results_input'!G17),AND(BM6&lt;BN6,'01_results_input'!F17&lt;'01_results_input'!G17),AND(BM6=BN6,'01_results_input'!F17='01_results_input'!G17)),pts_group_toto,0)))</f>
      </c>
      <c r="KU6">
        <f>IF(OR(ISBLANK(BQ6),ISBLANK(BR6),ISBLANK('01_results_input'!F18),ISBLANK('01_results_input'!G18)),"",IF(AND(BQ6='01_results_input'!F18,BR6='01_results_input'!G18),pts_group_toto+pts_group_exact_bonus,IF(OR(AND(BQ6&gt;BR6,'01_results_input'!F18&gt;'01_results_input'!G18),AND(BQ6&lt;BR6,'01_results_input'!F18&lt;'01_results_input'!G18),AND(BQ6=BR6,'01_results_input'!F18='01_results_input'!G18)),pts_group_toto,0)))</f>
      </c>
      <c r="KV6">
        <f>IF(OR(ISBLANK(BU6),ISBLANK(BV6),ISBLANK('01_results_input'!F19),ISBLANK('01_results_input'!G19)),"",IF(AND(BU6='01_results_input'!F19,BV6='01_results_input'!G19),pts_group_toto+pts_group_exact_bonus,IF(OR(AND(BU6&gt;BV6,'01_results_input'!F19&gt;'01_results_input'!G19),AND(BU6&lt;BV6,'01_results_input'!F19&lt;'01_results_input'!G19),AND(BU6=BV6,'01_results_input'!F19='01_results_input'!G19)),pts_group_toto,0)))</f>
      </c>
      <c r="KW6">
        <f>IF(OR(ISBLANK(BY6),ISBLANK(BZ6),ISBLANK('01_results_input'!F20),ISBLANK('01_results_input'!G20)),"",IF(AND(BY6='01_results_input'!F20,BZ6='01_results_input'!G20),pts_group_toto+pts_group_exact_bonus,IF(OR(AND(BY6&gt;BZ6,'01_results_input'!F20&gt;'01_results_input'!G20),AND(BY6&lt;BZ6,'01_results_input'!F20&lt;'01_results_input'!G20),AND(BY6=BZ6,'01_results_input'!F20='01_results_input'!G20)),pts_group_toto,0)))</f>
      </c>
      <c r="KX6">
        <f>IF(OR(ISBLANK(CC6),ISBLANK(CD6),ISBLANK('01_results_input'!F21),ISBLANK('01_results_input'!G21)),"",IF(AND(CC6='01_results_input'!F21,CD6='01_results_input'!G21),pts_group_toto+pts_group_exact_bonus,IF(OR(AND(CC6&gt;CD6,'01_results_input'!F21&gt;'01_results_input'!G21),AND(CC6&lt;CD6,'01_results_input'!F21&lt;'01_results_input'!G21),AND(CC6=CD6,'01_results_input'!F21='01_results_input'!G21)),pts_group_toto,0)))</f>
      </c>
      <c r="KY6">
        <f>IF(OR(ISBLANK(CG6),ISBLANK(CH6),ISBLANK('01_results_input'!F22),ISBLANK('01_results_input'!G22)),"",IF(AND(CG6='01_results_input'!F22,CH6='01_results_input'!G22),pts_group_toto+pts_group_exact_bonus,IF(OR(AND(CG6&gt;CH6,'01_results_input'!F22&gt;'01_results_input'!G22),AND(CG6&lt;CH6,'01_results_input'!F22&lt;'01_results_input'!G22),AND(CG6=CH6,'01_results_input'!F22='01_results_input'!G22)),pts_group_toto,0)))</f>
      </c>
      <c r="KZ6">
        <f>IF(OR(ISBLANK(CK6),ISBLANK(CL6),ISBLANK('01_results_input'!F23),ISBLANK('01_results_input'!G23)),"",IF(AND(CK6='01_results_input'!F23,CL6='01_results_input'!G23),pts_group_toto+pts_group_exact_bonus,IF(OR(AND(CK6&gt;CL6,'01_results_input'!F23&gt;'01_results_input'!G23),AND(CK6&lt;CL6,'01_results_input'!F23&lt;'01_results_input'!G23),AND(CK6=CL6,'01_results_input'!F23='01_results_input'!G23)),pts_group_toto,0)))</f>
      </c>
      <c r="LA6">
        <f>IF(OR(ISBLANK(CO6),ISBLANK(CP6),ISBLANK('01_results_input'!F24),ISBLANK('01_results_input'!G24)),"",IF(AND(CO6='01_results_input'!F24,CP6='01_results_input'!G24),pts_group_toto+pts_group_exact_bonus,IF(OR(AND(CO6&gt;CP6,'01_results_input'!F24&gt;'01_results_input'!G24),AND(CO6&lt;CP6,'01_results_input'!F24&lt;'01_results_input'!G24),AND(CO6=CP6,'01_results_input'!F24='01_results_input'!G24)),pts_group_toto,0)))</f>
      </c>
      <c r="LB6">
        <f>IF(OR(ISBLANK(CS6),ISBLANK(CT6),ISBLANK('01_results_input'!F25),ISBLANK('01_results_input'!G25)),"",IF(AND(CS6='01_results_input'!F25,CT6='01_results_input'!G25),pts_group_toto+pts_group_exact_bonus,IF(OR(AND(CS6&gt;CT6,'01_results_input'!F25&gt;'01_results_input'!G25),AND(CS6&lt;CT6,'01_results_input'!F25&lt;'01_results_input'!G25),AND(CS6=CT6,'01_results_input'!F25='01_results_input'!G25)),pts_group_toto,0)))</f>
      </c>
      <c r="LC6">
        <f>IF(OR(ISBLANK(CW6),ISBLANK(CX6),ISBLANK('01_results_input'!F26),ISBLANK('01_results_input'!G26)),"",IF(AND(CW6='01_results_input'!F26,CX6='01_results_input'!G26),pts_group_toto+pts_group_exact_bonus,IF(OR(AND(CW6&gt;CX6,'01_results_input'!F26&gt;'01_results_input'!G26),AND(CW6&lt;CX6,'01_results_input'!F26&lt;'01_results_input'!G26),AND(CW6=CX6,'01_results_input'!F26='01_results_input'!G26)),pts_group_toto,0)))</f>
      </c>
      <c r="LD6">
        <f>IF(OR(ISBLANK(DA6),ISBLANK(DB6),ISBLANK('01_results_input'!F27),ISBLANK('01_results_input'!G27)),"",IF(AND(DA6='01_results_input'!F27,DB6='01_results_input'!G27),pts_group_toto+pts_group_exact_bonus,IF(OR(AND(DA6&gt;DB6,'01_results_input'!F27&gt;'01_results_input'!G27),AND(DA6&lt;DB6,'01_results_input'!F27&lt;'01_results_input'!G27),AND(DA6=DB6,'01_results_input'!F27='01_results_input'!G27)),pts_group_toto,0)))</f>
      </c>
      <c r="LE6">
        <f>IF(OR(ISBLANK(DE6),ISBLANK(DF6),ISBLANK('01_results_input'!F28),ISBLANK('01_results_input'!G28)),"",IF(AND(DE6='01_results_input'!F28,DF6='01_results_input'!G28),pts_group_toto+pts_group_exact_bonus,IF(OR(AND(DE6&gt;DF6,'01_results_input'!F28&gt;'01_results_input'!G28),AND(DE6&lt;DF6,'01_results_input'!F28&lt;'01_results_input'!G28),AND(DE6=DF6,'01_results_input'!F28='01_results_input'!G28)),pts_group_toto,0)))</f>
      </c>
      <c r="LF6">
        <f>IF(OR(ISBLANK(DI6),ISBLANK(DJ6),ISBLANK('01_results_input'!F29),ISBLANK('01_results_input'!G29)),"",IF(AND(DI6='01_results_input'!F29,DJ6='01_results_input'!G29),pts_group_toto+pts_group_exact_bonus,IF(OR(AND(DI6&gt;DJ6,'01_results_input'!F29&gt;'01_results_input'!G29),AND(DI6&lt;DJ6,'01_results_input'!F29&lt;'01_results_input'!G29),AND(DI6=DJ6,'01_results_input'!F29='01_results_input'!G29)),pts_group_toto,0)))</f>
      </c>
      <c r="LG6">
        <f>IF(OR(ISBLANK(DM6),ISBLANK(DN6),ISBLANK('01_results_input'!F30),ISBLANK('01_results_input'!G30)),"",IF(AND(DM6='01_results_input'!F30,DN6='01_results_input'!G30),pts_group_toto+pts_group_exact_bonus,IF(OR(AND(DM6&gt;DN6,'01_results_input'!F30&gt;'01_results_input'!G30),AND(DM6&lt;DN6,'01_results_input'!F30&lt;'01_results_input'!G30),AND(DM6=DN6,'01_results_input'!F30='01_results_input'!G30)),pts_group_toto,0)))</f>
      </c>
      <c r="LH6">
        <f>IF(OR(ISBLANK(DQ6),ISBLANK(DR6),ISBLANK('01_results_input'!F31),ISBLANK('01_results_input'!G31)),"",IF(AND(DQ6='01_results_input'!F31,DR6='01_results_input'!G31),pts_group_toto+pts_group_exact_bonus,IF(OR(AND(DQ6&gt;DR6,'01_results_input'!F31&gt;'01_results_input'!G31),AND(DQ6&lt;DR6,'01_results_input'!F31&lt;'01_results_input'!G31),AND(DQ6=DR6,'01_results_input'!F31='01_results_input'!G31)),pts_group_toto,0)))</f>
      </c>
      <c r="LI6">
        <f>IF(OR(ISBLANK(DU6),ISBLANK(DV6),ISBLANK('01_results_input'!F32),ISBLANK('01_results_input'!G32)),"",IF(AND(DU6='01_results_input'!F32,DV6='01_results_input'!G32),pts_group_toto+pts_group_exact_bonus,IF(OR(AND(DU6&gt;DV6,'01_results_input'!F32&gt;'01_results_input'!G32),AND(DU6&lt;DV6,'01_results_input'!F32&lt;'01_results_input'!G32),AND(DU6=DV6,'01_results_input'!F32='01_results_input'!G32)),pts_group_toto,0)))</f>
      </c>
      <c r="LJ6">
        <f>IF(OR(ISBLANK(DY6),ISBLANK(DZ6),ISBLANK('01_results_input'!F33),ISBLANK('01_results_input'!G33)),"",IF(AND(DY6='01_results_input'!F33,DZ6='01_results_input'!G33),pts_group_toto+pts_group_exact_bonus,IF(OR(AND(DY6&gt;DZ6,'01_results_input'!F33&gt;'01_results_input'!G33),AND(DY6&lt;DZ6,'01_results_input'!F33&lt;'01_results_input'!G33),AND(DY6=DZ6,'01_results_input'!F33='01_results_input'!G33)),pts_group_toto,0)))</f>
      </c>
      <c r="LK6">
        <f>IF(OR(ISBLANK(EC6),ISBLANK(ED6),ISBLANK('01_results_input'!F34),ISBLANK('01_results_input'!G34)),"",IF(AND(EC6='01_results_input'!F34,ED6='01_results_input'!G34),pts_group_toto+pts_group_exact_bonus,IF(OR(AND(EC6&gt;ED6,'01_results_input'!F34&gt;'01_results_input'!G34),AND(EC6&lt;ED6,'01_results_input'!F34&lt;'01_results_input'!G34),AND(EC6=ED6,'01_results_input'!F34='01_results_input'!G34)),pts_group_toto,0)))</f>
      </c>
      <c r="LL6">
        <f>IF(OR(ISBLANK(EG6),ISBLANK(EH6),ISBLANK('01_results_input'!F35),ISBLANK('01_results_input'!G35)),"",IF(AND(EG6='01_results_input'!F35,EH6='01_results_input'!G35),pts_group_toto+pts_group_exact_bonus,IF(OR(AND(EG6&gt;EH6,'01_results_input'!F35&gt;'01_results_input'!G35),AND(EG6&lt;EH6,'01_results_input'!F35&lt;'01_results_input'!G35),AND(EG6=EH6,'01_results_input'!F35='01_results_input'!G35)),pts_group_toto,0)))</f>
      </c>
      <c r="LM6">
        <f>IF(OR(ISBLANK(EK6),ISBLANK(EL6),ISBLANK('01_results_input'!F36),ISBLANK('01_results_input'!G36)),"",IF(AND(EK6='01_results_input'!F36,EL6='01_results_input'!G36),pts_group_toto+pts_group_exact_bonus,IF(OR(AND(EK6&gt;EL6,'01_results_input'!F36&gt;'01_results_input'!G36),AND(EK6&lt;EL6,'01_results_input'!F36&lt;'01_results_input'!G36),AND(EK6=EL6,'01_results_input'!F36='01_results_input'!G36)),pts_group_toto,0)))</f>
      </c>
      <c r="LN6">
        <f>IF(OR(ISBLANK(EO6),ISBLANK(EP6),ISBLANK('01_results_input'!F37),ISBLANK('01_results_input'!G37)),"",IF(AND(EO6='01_results_input'!F37,EP6='01_results_input'!G37),pts_group_toto+pts_group_exact_bonus,IF(OR(AND(EO6&gt;EP6,'01_results_input'!F37&gt;'01_results_input'!G37),AND(EO6&lt;EP6,'01_results_input'!F37&lt;'01_results_input'!G37),AND(EO6=EP6,'01_results_input'!F37='01_results_input'!G37)),pts_group_toto,0)))</f>
      </c>
      <c r="LO6">
        <f>IF(OR(ISBLANK(ES6),ISBLANK(ET6),ISBLANK('01_results_input'!F38),ISBLANK('01_results_input'!G38)),"",IF(AND(ES6='01_results_input'!F38,ET6='01_results_input'!G38),pts_group_toto+pts_group_exact_bonus,IF(OR(AND(ES6&gt;ET6,'01_results_input'!F38&gt;'01_results_input'!G38),AND(ES6&lt;ET6,'01_results_input'!F38&lt;'01_results_input'!G38),AND(ES6=ET6,'01_results_input'!F38='01_results_input'!G38)),pts_group_toto,0)))</f>
      </c>
      <c r="LP6">
        <f>IF(OR(ISBLANK(EW6),ISBLANK(EX6),ISBLANK('01_results_input'!F39),ISBLANK('01_results_input'!G39)),"",IF(AND(EW6='01_results_input'!F39,EX6='01_results_input'!G39),pts_group_toto+pts_group_exact_bonus,IF(OR(AND(EW6&gt;EX6,'01_results_input'!F39&gt;'01_results_input'!G39),AND(EW6&lt;EX6,'01_results_input'!F39&lt;'01_results_input'!G39),AND(EW6=EX6,'01_results_input'!F39='01_results_input'!G39)),pts_group_toto,0)))</f>
      </c>
      <c r="LQ6">
        <f>IF(OR(ISBLANK(FA6),ISBLANK(FB6),ISBLANK('01_results_input'!F40),ISBLANK('01_results_input'!G40)),"",IF(AND(FA6='01_results_input'!F40,FB6='01_results_input'!G40),pts_group_toto+pts_group_exact_bonus,IF(OR(AND(FA6&gt;FB6,'01_results_input'!F40&gt;'01_results_input'!G40),AND(FA6&lt;FB6,'01_results_input'!F40&lt;'01_results_input'!G40),AND(FA6=FB6,'01_results_input'!F40='01_results_input'!G40)),pts_group_toto,0)))</f>
      </c>
      <c r="LR6">
        <f>IF(OR(ISBLANK(FE6),ISBLANK(FF6),ISBLANK('01_results_input'!F41),ISBLANK('01_results_input'!G41)),"",IF(AND(FE6='01_results_input'!F41,FF6='01_results_input'!G41),pts_group_toto+pts_group_exact_bonus,IF(OR(AND(FE6&gt;FF6,'01_results_input'!F41&gt;'01_results_input'!G41),AND(FE6&lt;FF6,'01_results_input'!F41&lt;'01_results_input'!G41),AND(FE6=FF6,'01_results_input'!F41='01_results_input'!G41)),pts_group_toto,0)))</f>
      </c>
      <c r="LS6">
        <f>IF(OR(ISBLANK(FI6),ISBLANK(FJ6),ISBLANK('01_results_input'!F42),ISBLANK('01_results_input'!G42)),"",IF(AND(FI6='01_results_input'!F42,FJ6='01_results_input'!G42),pts_group_toto+pts_group_exact_bonus,IF(OR(AND(FI6&gt;FJ6,'01_results_input'!F42&gt;'01_results_input'!G42),AND(FI6&lt;FJ6,'01_results_input'!F42&lt;'01_results_input'!G42),AND(FI6=FJ6,'01_results_input'!F42='01_results_input'!G42)),pts_group_toto,0)))</f>
      </c>
      <c r="LT6">
        <f>IF(OR(ISBLANK(FM6),ISBLANK(FN6),ISBLANK('01_results_input'!F43),ISBLANK('01_results_input'!G43)),"",IF(AND(FM6='01_results_input'!F43,FN6='01_results_input'!G43),pts_group_toto+pts_group_exact_bonus,IF(OR(AND(FM6&gt;FN6,'01_results_input'!F43&gt;'01_results_input'!G43),AND(FM6&lt;FN6,'01_results_input'!F43&lt;'01_results_input'!G43),AND(FM6=FN6,'01_results_input'!F43='01_results_input'!G43)),pts_group_toto,0)))</f>
      </c>
      <c r="LU6">
        <f>IF(OR(ISBLANK(FQ6),ISBLANK(FR6),ISBLANK('01_results_input'!F44),ISBLANK('01_results_input'!G44)),"",IF(AND(FQ6='01_results_input'!F44,FR6='01_results_input'!G44),pts_group_toto+pts_group_exact_bonus,IF(OR(AND(FQ6&gt;FR6,'01_results_input'!F44&gt;'01_results_input'!G44),AND(FQ6&lt;FR6,'01_results_input'!F44&lt;'01_results_input'!G44),AND(FQ6=FR6,'01_results_input'!F44='01_results_input'!G44)),pts_group_toto,0)))</f>
      </c>
      <c r="LV6">
        <f>IF(OR(ISBLANK(FU6),ISBLANK(FV6),ISBLANK('01_results_input'!F45),ISBLANK('01_results_input'!G45)),"",IF(AND(FU6='01_results_input'!F45,FV6='01_results_input'!G45),pts_group_toto+pts_group_exact_bonus,IF(OR(AND(FU6&gt;FV6,'01_results_input'!F45&gt;'01_results_input'!G45),AND(FU6&lt;FV6,'01_results_input'!F45&lt;'01_results_input'!G45),AND(FU6=FV6,'01_results_input'!F45='01_results_input'!G45)),pts_group_toto,0)))</f>
      </c>
      <c r="LW6">
        <f>IF(OR(ISBLANK(FY6),ISBLANK(FZ6),ISBLANK('01_results_input'!F46),ISBLANK('01_results_input'!G46)),"",IF(AND(FY6='01_results_input'!F46,FZ6='01_results_input'!G46),pts_group_toto+pts_group_exact_bonus,IF(OR(AND(FY6&gt;FZ6,'01_results_input'!F46&gt;'01_results_input'!G46),AND(FY6&lt;FZ6,'01_results_input'!F46&lt;'01_results_input'!G46),AND(FY6=FZ6,'01_results_input'!F46='01_results_input'!G46)),pts_group_toto,0)))</f>
      </c>
      <c r="LX6">
        <f>IF(OR(ISBLANK(GC6),ISBLANK(GD6),ISBLANK('01_results_input'!F47),ISBLANK('01_results_input'!G47)),"",IF(AND(GC6='01_results_input'!F47,GD6='01_results_input'!G47),pts_group_toto+pts_group_exact_bonus,IF(OR(AND(GC6&gt;GD6,'01_results_input'!F47&gt;'01_results_input'!G47),AND(GC6&lt;GD6,'01_results_input'!F47&lt;'01_results_input'!G47),AND(GC6=GD6,'01_results_input'!F47='01_results_input'!G47)),pts_group_toto,0)))</f>
      </c>
      <c r="LY6">
        <f>IF(OR(ISBLANK(GG6),ISBLANK(GH6),ISBLANK('01_results_input'!F48),ISBLANK('01_results_input'!G48)),"",IF(AND(GG6='01_results_input'!F48,GH6='01_results_input'!G48),pts_group_toto+pts_group_exact_bonus,IF(OR(AND(GG6&gt;GH6,'01_results_input'!F48&gt;'01_results_input'!G48),AND(GG6&lt;GH6,'01_results_input'!F48&lt;'01_results_input'!G48),AND(GG6=GH6,'01_results_input'!F48='01_results_input'!G48)),pts_group_toto,0)))</f>
      </c>
      <c r="LZ6">
        <f>IF(OR(ISBLANK(GK6),ISBLANK(GL6),ISBLANK('01_results_input'!F49),ISBLANK('01_results_input'!G49)),"",IF(AND(GK6='01_results_input'!F49,GL6='01_results_input'!G49),pts_group_toto+pts_group_exact_bonus,IF(OR(AND(GK6&gt;GL6,'01_results_input'!F49&gt;'01_results_input'!G49),AND(GK6&lt;GL6,'01_results_input'!F49&lt;'01_results_input'!G49),AND(GK6=GL6,'01_results_input'!F49='01_results_input'!G49)),pts_group_toto,0)))</f>
      </c>
      <c r="MA6">
        <f>IF(OR(ISBLANK(GO6),ISBLANK(GP6),ISBLANK('01_results_input'!F50),ISBLANK('01_results_input'!G50)),"",IF(AND(GO6='01_results_input'!F50,GP6='01_results_input'!G50),pts_group_toto+pts_group_exact_bonus,IF(OR(AND(GO6&gt;GP6,'01_results_input'!F50&gt;'01_results_input'!G50),AND(GO6&lt;GP6,'01_results_input'!F50&lt;'01_results_input'!G50),AND(GO6=GP6,'01_results_input'!F50='01_results_input'!G50)),pts_group_toto,0)))</f>
      </c>
      <c r="MB6">
        <f>IF(OR(ISBLANK(GS6),ISBLANK(GT6),ISBLANK('01_results_input'!F51),ISBLANK('01_results_input'!G51)),"",IF(AND(GS6='01_results_input'!F51,GT6='01_results_input'!G51),pts_group_toto+pts_group_exact_bonus,IF(OR(AND(GS6&gt;GT6,'01_results_input'!F51&gt;'01_results_input'!G51),AND(GS6&lt;GT6,'01_results_input'!F51&lt;'01_results_input'!G51),AND(GS6=GT6,'01_results_input'!F51='01_results_input'!G51)),pts_group_toto,0)))</f>
      </c>
      <c r="MC6">
        <f>IF(OR(ISBLANK(GW6),ISBLANK(GX6),ISBLANK('01_results_input'!F52),ISBLANK('01_results_input'!G52)),"",IF(AND(GW6='01_results_input'!F52,GX6='01_results_input'!G52),pts_group_toto+pts_group_exact_bonus,IF(OR(AND(GW6&gt;GX6,'01_results_input'!F52&gt;'01_results_input'!G52),AND(GW6&lt;GX6,'01_results_input'!F52&lt;'01_results_input'!G52),AND(GW6=GX6,'01_results_input'!F52='01_results_input'!G52)),pts_group_toto,0)))</f>
      </c>
      <c r="MD6">
        <f>IF(OR(ISBLANK(HA6),ISBLANK(HB6),ISBLANK('01_results_input'!F53),ISBLANK('01_results_input'!G53)),"",IF(AND(HA6='01_results_input'!F53,HB6='01_results_input'!G53),pts_group_toto+pts_group_exact_bonus,IF(OR(AND(HA6&gt;HB6,'01_results_input'!F53&gt;'01_results_input'!G53),AND(HA6&lt;HB6,'01_results_input'!F53&lt;'01_results_input'!G53),AND(HA6=HB6,'01_results_input'!F53='01_results_input'!G53)),pts_group_toto,0)))</f>
      </c>
      <c r="ME6">
        <f>IF(OR(ISBLANK(HE6),ISBLANK(HF6),ISBLANK('01_results_input'!F54),ISBLANK('01_results_input'!G54)),"",IF(AND(HE6='01_results_input'!F54,HF6='01_results_input'!G54),pts_group_toto+pts_group_exact_bonus,IF(OR(AND(HE6&gt;HF6,'01_results_input'!F54&gt;'01_results_input'!G54),AND(HE6&lt;HF6,'01_results_input'!F54&lt;'01_results_input'!G54),AND(HE6=HF6,'01_results_input'!F54='01_results_input'!G54)),pts_group_toto,0)))</f>
      </c>
      <c r="MF6">
        <f>IF(OR(ISBLANK(HI6),ISBLANK(HJ6),ISBLANK('01_results_input'!F55),ISBLANK('01_results_input'!G55)),"",IF(AND(HI6='01_results_input'!F55,HJ6='01_results_input'!G55),pts_group_toto+pts_group_exact_bonus,IF(OR(AND(HI6&gt;HJ6,'01_results_input'!F55&gt;'01_results_input'!G55),AND(HI6&lt;HJ6,'01_results_input'!F55&lt;'01_results_input'!G55),AND(HI6=HJ6,'01_results_input'!F55='01_results_input'!G55)),pts_group_toto,0)))</f>
      </c>
      <c r="MG6">
        <f>IF(OR(ISBLANK(HM6),ISBLANK(HN6),ISBLANK('01_results_input'!F56),ISBLANK('01_results_input'!G56)),"",IF(AND(HM6='01_results_input'!F56,HN6='01_results_input'!G56),pts_group_toto+pts_group_exact_bonus,IF(OR(AND(HM6&gt;HN6,'01_results_input'!F56&gt;'01_results_input'!G56),AND(HM6&lt;HN6,'01_results_input'!F56&lt;'01_results_input'!G56),AND(HM6=HN6,'01_results_input'!F56='01_results_input'!G56)),pts_group_toto,0)))</f>
      </c>
      <c r="MH6">
        <f>IF(OR(ISBLANK(HQ6),ISBLANK(HR6),ISBLANK('01_results_input'!F57),ISBLANK('01_results_input'!G57)),"",IF(AND(HQ6='01_results_input'!F57,HR6='01_results_input'!G57),pts_group_toto+pts_group_exact_bonus,IF(OR(AND(HQ6&gt;HR6,'01_results_input'!F57&gt;'01_results_input'!G57),AND(HQ6&lt;HR6,'01_results_input'!F57&lt;'01_results_input'!G57),AND(HQ6=HR6,'01_results_input'!F57='01_results_input'!G57)),pts_group_toto,0)))</f>
      </c>
      <c r="MI6">
        <f>IF(OR(ISBLANK(HU6),ISBLANK(HV6),ISBLANK('01_results_input'!F58),ISBLANK('01_results_input'!G58)),"",IF(AND(HU6='01_results_input'!F58,HV6='01_results_input'!G58),pts_group_toto+pts_group_exact_bonus,IF(OR(AND(HU6&gt;HV6,'01_results_input'!F58&gt;'01_results_input'!G58),AND(HU6&lt;HV6,'01_results_input'!F58&lt;'01_results_input'!G58),AND(HU6=HV6,'01_results_input'!F58='01_results_input'!G58)),pts_group_toto,0)))</f>
      </c>
      <c r="MJ6">
        <f>IF(OR(ISBLANK(HY6),ISBLANK(HZ6),ISBLANK('01_results_input'!F59),ISBLANK('01_results_input'!G59)),"",IF(AND(HY6='01_results_input'!F59,HZ6='01_results_input'!G59),pts_group_toto+pts_group_exact_bonus,IF(OR(AND(HY6&gt;HZ6,'01_results_input'!F59&gt;'01_results_input'!G59),AND(HY6&lt;HZ6,'01_results_input'!F59&lt;'01_results_input'!G59),AND(HY6=HZ6,'01_results_input'!F59='01_results_input'!G59)),pts_group_toto,0)))</f>
      </c>
      <c r="MK6">
        <f>IF(OR(ISBLANK(IC6),ISBLANK(ID6),ISBLANK('01_results_input'!F60),ISBLANK('01_results_input'!G60)),"",IF(AND(IC6='01_results_input'!F60,ID6='01_results_input'!G60),pts_group_toto+pts_group_exact_bonus,IF(OR(AND(IC6&gt;ID6,'01_results_input'!F60&gt;'01_results_input'!G60),AND(IC6&lt;ID6,'01_results_input'!F60&lt;'01_results_input'!G60),AND(IC6=ID6,'01_results_input'!F60='01_results_input'!G60)),pts_group_toto,0)))</f>
      </c>
      <c r="ML6">
        <f>IF(OR(ISBLANK(IG6),ISBLANK(IH6),ISBLANK('01_results_input'!F61),ISBLANK('01_results_input'!G61)),"",IF(AND(IG6='01_results_input'!F61,IH6='01_results_input'!G61),pts_group_toto+pts_group_exact_bonus,IF(OR(AND(IG6&gt;IH6,'01_results_input'!F61&gt;'01_results_input'!G61),AND(IG6&lt;IH6,'01_results_input'!F61&lt;'01_results_input'!G61),AND(IG6=IH6,'01_results_input'!F61='01_results_input'!G61)),pts_group_toto,0)))</f>
      </c>
      <c r="MM6">
        <f>IF(OR(ISBLANK(IK6),ISBLANK(IL6),ISBLANK('01_results_input'!F62),ISBLANK('01_results_input'!G62)),"",IF(AND(IK6='01_results_input'!F62,IL6='01_results_input'!G62),pts_group_toto+pts_group_exact_bonus,IF(OR(AND(IK6&gt;IL6,'01_results_input'!F62&gt;'01_results_input'!G62),AND(IK6&lt;IL6,'01_results_input'!F62&lt;'01_results_input'!G62),AND(IK6=IL6,'01_results_input'!F62='01_results_input'!G62)),pts_group_toto,0)))</f>
      </c>
      <c r="MN6">
        <f>IF(OR(ISBLANK(IO6),ISBLANK(IP6),ISBLANK('01_results_input'!F63),ISBLANK('01_results_input'!G63)),"",IF(AND(IO6='01_results_input'!F63,IP6='01_results_input'!G63),pts_group_toto+pts_group_exact_bonus,IF(OR(AND(IO6&gt;IP6,'01_results_input'!F63&gt;'01_results_input'!G63),AND(IO6&lt;IP6,'01_results_input'!F63&lt;'01_results_input'!G63),AND(IO6=IP6,'01_results_input'!F63='01_results_input'!G63)),pts_group_toto,0)))</f>
      </c>
      <c r="MO6">
        <f>IF(OR(ISBLANK(IS6),ISBLANK(IT6),ISBLANK('01_results_input'!F64),ISBLANK('01_results_input'!G64)),"",IF(AND(IS6='01_results_input'!F64,IT6='01_results_input'!G64),pts_group_toto+pts_group_exact_bonus,IF(OR(AND(IS6&gt;IT6,'01_results_input'!F64&gt;'01_results_input'!G64),AND(IS6&lt;IT6,'01_results_input'!F64&lt;'01_results_input'!G64),AND(IS6=IT6,'01_results_input'!F64='01_results_input'!G64)),pts_group_toto,0)))</f>
      </c>
      <c r="MP6">
        <f>IF(OR(ISBLANK(IW6),ISBLANK(IX6),ISBLANK('01_results_input'!F65),ISBLANK('01_results_input'!G65)),"",IF(AND(IW6='01_results_input'!F65,IX6='01_results_input'!G65),pts_group_toto+pts_group_exact_bonus,IF(OR(AND(IW6&gt;IX6,'01_results_input'!F65&gt;'01_results_input'!G65),AND(IW6&lt;IX6,'01_results_input'!F65&lt;'01_results_input'!G65),AND(IW6=IX6,'01_results_input'!F65='01_results_input'!G65)),pts_group_toto,0)))</f>
      </c>
      <c r="MQ6">
        <f>IF(OR(ISBLANK(JA6),ISBLANK(JB6),ISBLANK('01_results_input'!F66),ISBLANK('01_results_input'!G66)),"",IF(AND(JA6='01_results_input'!F66,JB6='01_results_input'!G66),pts_group_toto+pts_group_exact_bonus,IF(OR(AND(JA6&gt;JB6,'01_results_input'!F66&gt;'01_results_input'!G66),AND(JA6&lt;JB6,'01_results_input'!F66&lt;'01_results_input'!G66),AND(JA6=JB6,'01_results_input'!F66='01_results_input'!G66)),pts_group_toto,0)))</f>
      </c>
      <c r="MR6">
        <f>IF(OR(ISBLANK(JE6),ISBLANK(JF6),ISBLANK('01_results_input'!F67),ISBLANK('01_results_input'!G67)),"",IF(AND(JE6='01_results_input'!F67,JF6='01_results_input'!G67),pts_group_toto+pts_group_exact_bonus,IF(OR(AND(JE6&gt;JF6,'01_results_input'!F67&gt;'01_results_input'!G67),AND(JE6&lt;JF6,'01_results_input'!F67&lt;'01_results_input'!G67),AND(JE6=JF6,'01_results_input'!F67='01_results_input'!G67)),pts_group_toto,0)))</f>
      </c>
      <c r="MS6">
        <f>IF(OR(ISBLANK(JI6),ISBLANK(JJ6),ISBLANK('01_results_input'!F68),ISBLANK('01_results_input'!G68)),"",IF(AND(JI6='01_results_input'!F68,JJ6='01_results_input'!G68),pts_group_toto+pts_group_exact_bonus,IF(OR(AND(JI6&gt;JJ6,'01_results_input'!F68&gt;'01_results_input'!G68),AND(JI6&lt;JJ6,'01_results_input'!F68&lt;'01_results_input'!G68),AND(JI6=JJ6,'01_results_input'!F68='01_results_input'!G68)),pts_group_toto,0)))</f>
      </c>
      <c r="MT6">
        <f>IF(OR(ISBLANK(JM6),ISBLANK(JN6),ISBLANK('01_results_input'!F69),ISBLANK('01_results_input'!G69)),"",IF(AND(JM6='01_results_input'!F69,JN6='01_results_input'!G69),pts_group_toto+pts_group_exact_bonus,IF(OR(AND(JM6&gt;JN6,'01_results_input'!F69&gt;'01_results_input'!G69),AND(JM6&lt;JN6,'01_results_input'!F69&lt;'01_results_input'!G69),AND(JM6=JN6,'01_results_input'!F69='01_results_input'!G69)),pts_group_toto,0)))</f>
      </c>
      <c r="MU6">
        <f>IF(OR(ISBLANK(JQ6),ISBLANK(JR6),ISBLANK('01_results_input'!F70),ISBLANK('01_results_input'!G70)),"",IF(AND(JQ6='01_results_input'!F70,JR6='01_results_input'!G70),pts_group_toto+pts_group_exact_bonus,IF(OR(AND(JQ6&gt;JR6,'01_results_input'!F70&gt;'01_results_input'!G70),AND(JQ6&lt;JR6,'01_results_input'!F70&lt;'01_results_input'!G70),AND(JQ6=JR6,'01_results_input'!F70='01_results_input'!G70)),pts_group_toto,0)))</f>
      </c>
      <c r="MV6">
        <f>IF(OR(ISBLANK(JU6),ISBLANK(JV6),ISBLANK('01_results_input'!F71),ISBLANK('01_results_input'!G71)),"",IF(AND(JU6='01_results_input'!F71,JV6='01_results_input'!G71),pts_group_toto+pts_group_exact_bonus,IF(OR(AND(JU6&gt;JV6,'01_results_input'!F71&gt;'01_results_input'!G71),AND(JU6&lt;JV6,'01_results_input'!F71&lt;'01_results_input'!G71),AND(JU6=JV6,'01_results_input'!F71='01_results_input'!G71)),pts_group_toto,0)))</f>
      </c>
      <c r="MW6">
        <f>IF(OR(ISBLANK(JY6),ISBLANK(JZ6),ISBLANK('01_results_input'!F72),ISBLANK('01_results_input'!G72)),"",IF(AND(JY6='01_results_input'!F72,JZ6='01_results_input'!G72),pts_group_toto+pts_group_exact_bonus,IF(OR(AND(JY6&gt;JZ6,'01_results_input'!F72&gt;'01_results_input'!G72),AND(JY6&lt;JZ6,'01_results_input'!F72&lt;'01_results_input'!G72),AND(JY6=JZ6,'01_results_input'!F72='01_results_input'!G72)),pts_group_toto,0)))</f>
      </c>
      <c r="MX6">
        <f>IF(OR(ISBLANK(KC6),ISBLANK(KD6),ISBLANK('01_results_input'!F73),ISBLANK('01_results_input'!G73)),"",IF(AND(KC6='01_results_input'!F73,KD6='01_results_input'!G73),pts_group_toto+pts_group_exact_bonus,IF(OR(AND(KC6&gt;KD6,'01_results_input'!F73&gt;'01_results_input'!G73),AND(KC6&lt;KD6,'01_results_input'!F73&lt;'01_results_input'!G73),AND(KC6=KD6,'01_results_input'!F73='01_results_input'!G73)),pts_group_toto,0)))</f>
      </c>
      <c r="MY6">
        <f>SUM(KE6:MX6)</f>
      </c>
    </row>
    <row r="7" spans="1:363" x14ac:dyDescent="0.25">
      <c r="A7" t="s">
        <v>564</v>
      </c>
      <c r="B7" t="s">
        <v>565</v>
      </c>
      <c r="C7" t="s">
        <v>26</v>
      </c>
      <c r="D7" t="s">
        <v>27</v>
      </c>
      <c r="E7">
        <v>1</v>
      </c>
      <c r="F7">
        <v>2</v>
      </c>
      <c r="G7" t="s">
        <v>29</v>
      </c>
      <c r="H7" t="s">
        <v>30</v>
      </c>
      <c r="I7">
        <v>1</v>
      </c>
      <c r="J7">
        <v>0</v>
      </c>
      <c r="K7" t="s">
        <v>26</v>
      </c>
      <c r="L7" t="s">
        <v>29</v>
      </c>
      <c r="M7">
        <v>1</v>
      </c>
      <c r="N7">
        <v>1</v>
      </c>
      <c r="O7" t="s">
        <v>30</v>
      </c>
      <c r="P7" t="s">
        <v>27</v>
      </c>
      <c r="Q7">
        <v>2</v>
      </c>
      <c r="R7">
        <v>0</v>
      </c>
      <c r="S7" t="s">
        <v>30</v>
      </c>
      <c r="T7" t="s">
        <v>26</v>
      </c>
      <c r="U7">
        <v>3</v>
      </c>
      <c r="V7">
        <v>1</v>
      </c>
      <c r="W7" t="s">
        <v>27</v>
      </c>
      <c r="X7" t="s">
        <v>29</v>
      </c>
      <c r="Y7">
        <v>2</v>
      </c>
      <c r="Z7">
        <v>2</v>
      </c>
      <c r="AA7" t="s">
        <v>37</v>
      </c>
      <c r="AB7" t="s">
        <v>38</v>
      </c>
      <c r="AC7">
        <v>0</v>
      </c>
      <c r="AD7">
        <v>2</v>
      </c>
      <c r="AE7" t="s">
        <v>40</v>
      </c>
      <c r="AF7" t="s">
        <v>41</v>
      </c>
      <c r="AG7">
        <v>3</v>
      </c>
      <c r="AH7">
        <v>2</v>
      </c>
      <c r="AI7" t="s">
        <v>37</v>
      </c>
      <c r="AJ7" t="s">
        <v>40</v>
      </c>
      <c r="AK7">
        <v>0</v>
      </c>
      <c r="AL7">
        <v>0</v>
      </c>
      <c r="AM7" t="s">
        <v>41</v>
      </c>
      <c r="AN7" t="s">
        <v>38</v>
      </c>
      <c r="AO7">
        <v>1</v>
      </c>
      <c r="AP7">
        <v>2</v>
      </c>
      <c r="AQ7" t="s">
        <v>41</v>
      </c>
      <c r="AR7" t="s">
        <v>37</v>
      </c>
      <c r="AS7">
        <v>2</v>
      </c>
      <c r="AT7">
        <v>2</v>
      </c>
      <c r="AU7" t="s">
        <v>38</v>
      </c>
      <c r="AV7" t="s">
        <v>40</v>
      </c>
      <c r="AW7">
        <v>1</v>
      </c>
      <c r="AX7">
        <v>1</v>
      </c>
      <c r="AY7" t="s">
        <v>48</v>
      </c>
      <c r="AZ7" t="s">
        <v>49</v>
      </c>
      <c r="BA7">
        <v>3</v>
      </c>
      <c r="BB7">
        <v>0</v>
      </c>
      <c r="BC7" t="s">
        <v>51</v>
      </c>
      <c r="BD7" t="s">
        <v>52</v>
      </c>
      <c r="BE7">
        <v>3</v>
      </c>
      <c r="BF7">
        <v>1</v>
      </c>
      <c r="BG7" t="s">
        <v>48</v>
      </c>
      <c r="BH7" t="s">
        <v>51</v>
      </c>
      <c r="BI7">
        <v>2</v>
      </c>
      <c r="BJ7">
        <v>1</v>
      </c>
      <c r="BK7" t="s">
        <v>52</v>
      </c>
      <c r="BL7" t="s">
        <v>49</v>
      </c>
      <c r="BM7">
        <v>2</v>
      </c>
      <c r="BN7">
        <v>0</v>
      </c>
      <c r="BO7" t="s">
        <v>52</v>
      </c>
      <c r="BP7" t="s">
        <v>48</v>
      </c>
      <c r="BQ7">
        <v>1</v>
      </c>
      <c r="BR7">
        <v>1</v>
      </c>
      <c r="BS7" t="s">
        <v>49</v>
      </c>
      <c r="BT7" t="s">
        <v>51</v>
      </c>
      <c r="BU7">
        <v>0</v>
      </c>
      <c r="BV7">
        <v>1</v>
      </c>
      <c r="BW7" t="s">
        <v>59</v>
      </c>
      <c r="BX7" t="s">
        <v>60</v>
      </c>
      <c r="BY7">
        <v>0</v>
      </c>
      <c r="BZ7">
        <v>0</v>
      </c>
      <c r="CA7" t="s">
        <v>62</v>
      </c>
      <c r="CB7" t="s">
        <v>63</v>
      </c>
      <c r="CC7">
        <v>3</v>
      </c>
      <c r="CD7">
        <v>1</v>
      </c>
      <c r="CE7" t="s">
        <v>59</v>
      </c>
      <c r="CF7" t="s">
        <v>62</v>
      </c>
      <c r="CG7">
        <v>0</v>
      </c>
      <c r="CH7">
        <v>0</v>
      </c>
      <c r="CI7" t="s">
        <v>63</v>
      </c>
      <c r="CJ7" t="s">
        <v>60</v>
      </c>
      <c r="CK7">
        <v>3</v>
      </c>
      <c r="CL7">
        <v>0</v>
      </c>
      <c r="CM7" t="s">
        <v>63</v>
      </c>
      <c r="CN7" t="s">
        <v>59</v>
      </c>
      <c r="CO7">
        <v>2</v>
      </c>
      <c r="CP7">
        <v>1</v>
      </c>
      <c r="CQ7" t="s">
        <v>60</v>
      </c>
      <c r="CR7" t="s">
        <v>62</v>
      </c>
      <c r="CS7">
        <v>1</v>
      </c>
      <c r="CT7">
        <v>2</v>
      </c>
      <c r="CU7" t="s">
        <v>70</v>
      </c>
      <c r="CV7" t="s">
        <v>71</v>
      </c>
      <c r="CW7">
        <v>0</v>
      </c>
      <c r="CX7">
        <v>0</v>
      </c>
      <c r="CY7" t="s">
        <v>73</v>
      </c>
      <c r="CZ7" t="s">
        <v>74</v>
      </c>
      <c r="DA7">
        <v>0</v>
      </c>
      <c r="DB7">
        <v>2</v>
      </c>
      <c r="DC7" t="s">
        <v>70</v>
      </c>
      <c r="DD7" t="s">
        <v>73</v>
      </c>
      <c r="DE7">
        <v>3</v>
      </c>
      <c r="DF7">
        <v>1</v>
      </c>
      <c r="DG7" t="s">
        <v>74</v>
      </c>
      <c r="DH7" t="s">
        <v>71</v>
      </c>
      <c r="DI7">
        <v>0</v>
      </c>
      <c r="DJ7">
        <v>0</v>
      </c>
      <c r="DK7" t="s">
        <v>74</v>
      </c>
      <c r="DL7" t="s">
        <v>70</v>
      </c>
      <c r="DM7">
        <v>0</v>
      </c>
      <c r="DN7">
        <v>0</v>
      </c>
      <c r="DO7" t="s">
        <v>71</v>
      </c>
      <c r="DP7" t="s">
        <v>73</v>
      </c>
      <c r="DQ7">
        <v>3</v>
      </c>
      <c r="DR7">
        <v>0</v>
      </c>
      <c r="DS7" t="s">
        <v>81</v>
      </c>
      <c r="DT7" t="s">
        <v>82</v>
      </c>
      <c r="DU7">
        <v>0</v>
      </c>
      <c r="DV7">
        <v>0</v>
      </c>
      <c r="DW7" t="s">
        <v>84</v>
      </c>
      <c r="DX7" t="s">
        <v>85</v>
      </c>
      <c r="DY7">
        <v>2</v>
      </c>
      <c r="DZ7">
        <v>1</v>
      </c>
      <c r="EA7" t="s">
        <v>81</v>
      </c>
      <c r="EB7" t="s">
        <v>84</v>
      </c>
      <c r="EC7">
        <v>0</v>
      </c>
      <c r="ED7">
        <v>0</v>
      </c>
      <c r="EE7" t="s">
        <v>85</v>
      </c>
      <c r="EF7" t="s">
        <v>82</v>
      </c>
      <c r="EG7">
        <v>1</v>
      </c>
      <c r="EH7">
        <v>0</v>
      </c>
      <c r="EI7" t="s">
        <v>85</v>
      </c>
      <c r="EJ7" t="s">
        <v>81</v>
      </c>
      <c r="EK7">
        <v>1</v>
      </c>
      <c r="EL7">
        <v>0</v>
      </c>
      <c r="EM7" t="s">
        <v>82</v>
      </c>
      <c r="EN7" t="s">
        <v>84</v>
      </c>
      <c r="EO7">
        <v>2</v>
      </c>
      <c r="EP7">
        <v>2</v>
      </c>
      <c r="EQ7" t="s">
        <v>92</v>
      </c>
      <c r="ER7" t="s">
        <v>93</v>
      </c>
      <c r="ES7">
        <v>2</v>
      </c>
      <c r="ET7">
        <v>2</v>
      </c>
      <c r="EU7" t="s">
        <v>95</v>
      </c>
      <c r="EV7" t="s">
        <v>96</v>
      </c>
      <c r="EW7">
        <v>1</v>
      </c>
      <c r="EX7">
        <v>2</v>
      </c>
      <c r="EY7" t="s">
        <v>92</v>
      </c>
      <c r="EZ7" t="s">
        <v>95</v>
      </c>
      <c r="FA7">
        <v>2</v>
      </c>
      <c r="FB7">
        <v>2</v>
      </c>
      <c r="FC7" t="s">
        <v>96</v>
      </c>
      <c r="FD7" t="s">
        <v>93</v>
      </c>
      <c r="FE7">
        <v>0</v>
      </c>
      <c r="FF7">
        <v>0</v>
      </c>
      <c r="FG7" t="s">
        <v>96</v>
      </c>
      <c r="FH7" t="s">
        <v>92</v>
      </c>
      <c r="FI7">
        <v>1</v>
      </c>
      <c r="FJ7">
        <v>1</v>
      </c>
      <c r="FK7" t="s">
        <v>93</v>
      </c>
      <c r="FL7" t="s">
        <v>95</v>
      </c>
      <c r="FM7">
        <v>3</v>
      </c>
      <c r="FN7">
        <v>1</v>
      </c>
      <c r="FO7" t="s">
        <v>103</v>
      </c>
      <c r="FP7" t="s">
        <v>104</v>
      </c>
      <c r="FQ7">
        <v>3</v>
      </c>
      <c r="FR7">
        <v>2</v>
      </c>
      <c r="FS7" t="s">
        <v>106</v>
      </c>
      <c r="FT7" t="s">
        <v>107</v>
      </c>
      <c r="FU7">
        <v>3</v>
      </c>
      <c r="FV7">
        <v>0</v>
      </c>
      <c r="FW7" t="s">
        <v>103</v>
      </c>
      <c r="FX7" t="s">
        <v>106</v>
      </c>
      <c r="FY7">
        <v>0</v>
      </c>
      <c r="FZ7">
        <v>2</v>
      </c>
      <c r="GA7" t="s">
        <v>107</v>
      </c>
      <c r="GB7" t="s">
        <v>104</v>
      </c>
      <c r="GC7">
        <v>1</v>
      </c>
      <c r="GD7">
        <v>2</v>
      </c>
      <c r="GE7" t="s">
        <v>107</v>
      </c>
      <c r="GF7" t="s">
        <v>103</v>
      </c>
      <c r="GG7">
        <v>1</v>
      </c>
      <c r="GH7">
        <v>1</v>
      </c>
      <c r="GI7" t="s">
        <v>104</v>
      </c>
      <c r="GJ7" t="s">
        <v>106</v>
      </c>
      <c r="GK7">
        <v>0</v>
      </c>
      <c r="GL7">
        <v>0</v>
      </c>
      <c r="GM7" t="s">
        <v>114</v>
      </c>
      <c r="GN7" t="s">
        <v>115</v>
      </c>
      <c r="GO7">
        <v>3</v>
      </c>
      <c r="GP7">
        <v>2</v>
      </c>
      <c r="GQ7" t="s">
        <v>117</v>
      </c>
      <c r="GR7" t="s">
        <v>118</v>
      </c>
      <c r="GS7">
        <v>0</v>
      </c>
      <c r="GT7">
        <v>0</v>
      </c>
      <c r="GU7" t="s">
        <v>114</v>
      </c>
      <c r="GV7" t="s">
        <v>117</v>
      </c>
      <c r="GW7">
        <v>1</v>
      </c>
      <c r="GX7">
        <v>2</v>
      </c>
      <c r="GY7" t="s">
        <v>118</v>
      </c>
      <c r="GZ7" t="s">
        <v>115</v>
      </c>
      <c r="HA7">
        <v>3</v>
      </c>
      <c r="HB7">
        <v>2</v>
      </c>
      <c r="HC7" t="s">
        <v>118</v>
      </c>
      <c r="HD7" t="s">
        <v>114</v>
      </c>
      <c r="HE7">
        <v>0</v>
      </c>
      <c r="HF7">
        <v>1</v>
      </c>
      <c r="HG7" t="s">
        <v>115</v>
      </c>
      <c r="HH7" t="s">
        <v>117</v>
      </c>
      <c r="HI7">
        <v>2</v>
      </c>
      <c r="HJ7">
        <v>1</v>
      </c>
      <c r="HK7" t="s">
        <v>125</v>
      </c>
      <c r="HL7" t="s">
        <v>126</v>
      </c>
      <c r="HM7">
        <v>3</v>
      </c>
      <c r="HN7">
        <v>1</v>
      </c>
      <c r="HO7" t="s">
        <v>128</v>
      </c>
      <c r="HP7" t="s">
        <v>129</v>
      </c>
      <c r="HQ7">
        <v>1</v>
      </c>
      <c r="HR7">
        <v>2</v>
      </c>
      <c r="HS7" t="s">
        <v>125</v>
      </c>
      <c r="HT7" t="s">
        <v>128</v>
      </c>
      <c r="HU7">
        <v>3</v>
      </c>
      <c r="HV7">
        <v>2</v>
      </c>
      <c r="HW7" t="s">
        <v>129</v>
      </c>
      <c r="HX7" t="s">
        <v>126</v>
      </c>
      <c r="HY7">
        <v>2</v>
      </c>
      <c r="HZ7">
        <v>2</v>
      </c>
      <c r="IA7" t="s">
        <v>129</v>
      </c>
      <c r="IB7" t="s">
        <v>125</v>
      </c>
      <c r="IC7">
        <v>2</v>
      </c>
      <c r="ID7">
        <v>0</v>
      </c>
      <c r="IE7" t="s">
        <v>126</v>
      </c>
      <c r="IF7" t="s">
        <v>128</v>
      </c>
      <c r="IG7">
        <v>3</v>
      </c>
      <c r="IH7">
        <v>2</v>
      </c>
      <c r="II7" t="s">
        <v>136</v>
      </c>
      <c r="IJ7" t="s">
        <v>137</v>
      </c>
      <c r="IK7">
        <v>0</v>
      </c>
      <c r="IL7">
        <v>1</v>
      </c>
      <c r="IM7" t="s">
        <v>139</v>
      </c>
      <c r="IN7" t="s">
        <v>140</v>
      </c>
      <c r="IO7">
        <v>1</v>
      </c>
      <c r="IP7">
        <v>1</v>
      </c>
      <c r="IQ7" t="s">
        <v>136</v>
      </c>
      <c r="IR7" t="s">
        <v>139</v>
      </c>
      <c r="IS7">
        <v>0</v>
      </c>
      <c r="IT7">
        <v>1</v>
      </c>
      <c r="IU7" t="s">
        <v>140</v>
      </c>
      <c r="IV7" t="s">
        <v>137</v>
      </c>
      <c r="IW7">
        <v>1</v>
      </c>
      <c r="IX7">
        <v>0</v>
      </c>
      <c r="IY7" t="s">
        <v>140</v>
      </c>
      <c r="IZ7" t="s">
        <v>136</v>
      </c>
      <c r="JA7">
        <v>0</v>
      </c>
      <c r="JB7">
        <v>0</v>
      </c>
      <c r="JC7" t="s">
        <v>137</v>
      </c>
      <c r="JD7" t="s">
        <v>139</v>
      </c>
      <c r="JE7">
        <v>0</v>
      </c>
      <c r="JF7">
        <v>0</v>
      </c>
      <c r="JG7" t="s">
        <v>147</v>
      </c>
      <c r="JH7" t="s">
        <v>148</v>
      </c>
      <c r="JI7">
        <v>1</v>
      </c>
      <c r="JJ7">
        <v>1</v>
      </c>
      <c r="JK7" t="s">
        <v>150</v>
      </c>
      <c r="JL7" t="s">
        <v>151</v>
      </c>
      <c r="JM7">
        <v>0</v>
      </c>
      <c r="JN7">
        <v>2</v>
      </c>
      <c r="JO7" t="s">
        <v>147</v>
      </c>
      <c r="JP7" t="s">
        <v>150</v>
      </c>
      <c r="JQ7">
        <v>0</v>
      </c>
      <c r="JR7">
        <v>0</v>
      </c>
      <c r="JS7" t="s">
        <v>151</v>
      </c>
      <c r="JT7" t="s">
        <v>148</v>
      </c>
      <c r="JU7">
        <v>0</v>
      </c>
      <c r="JV7">
        <v>0</v>
      </c>
      <c r="JW7" t="s">
        <v>151</v>
      </c>
      <c r="JX7" t="s">
        <v>147</v>
      </c>
      <c r="JY7">
        <v>2</v>
      </c>
      <c r="JZ7">
        <v>0</v>
      </c>
      <c r="KA7" t="s">
        <v>148</v>
      </c>
      <c r="KB7" t="s">
        <v>150</v>
      </c>
      <c r="KC7">
        <v>2</v>
      </c>
      <c r="KD7">
        <v>0</v>
      </c>
      <c r="KE7">
        <f>IF(OR(ISBLANK(E7),ISBLANK(F7),ISBLANK('01_results_input'!F2),ISBLANK('01_results_input'!G2)),"",IF(AND(E7='01_results_input'!F2,F7='01_results_input'!G2),pts_group_toto+pts_group_exact_bonus,IF(OR(AND(E7&gt;F7,'01_results_input'!F2&gt;'01_results_input'!G2),AND(E7&lt;F7,'01_results_input'!F2&lt;'01_results_input'!G2),AND(E7=F7,'01_results_input'!F2='01_results_input'!G2)),pts_group_toto,0)))</f>
      </c>
      <c r="KF7">
        <f>IF(OR(ISBLANK(I7),ISBLANK(J7),ISBLANK('01_results_input'!F3),ISBLANK('01_results_input'!G3)),"",IF(AND(I7='01_results_input'!F3,J7='01_results_input'!G3),pts_group_toto+pts_group_exact_bonus,IF(OR(AND(I7&gt;J7,'01_results_input'!F3&gt;'01_results_input'!G3),AND(I7&lt;J7,'01_results_input'!F3&lt;'01_results_input'!G3),AND(I7=J7,'01_results_input'!F3='01_results_input'!G3)),pts_group_toto,0)))</f>
      </c>
      <c r="KG7">
        <f>IF(OR(ISBLANK(M7),ISBLANK(N7),ISBLANK('01_results_input'!F4),ISBLANK('01_results_input'!G4)),"",IF(AND(M7='01_results_input'!F4,N7='01_results_input'!G4),pts_group_toto+pts_group_exact_bonus,IF(OR(AND(M7&gt;N7,'01_results_input'!F4&gt;'01_results_input'!G4),AND(M7&lt;N7,'01_results_input'!F4&lt;'01_results_input'!G4),AND(M7=N7,'01_results_input'!F4='01_results_input'!G4)),pts_group_toto,0)))</f>
      </c>
      <c r="KH7">
        <f>IF(OR(ISBLANK(Q7),ISBLANK(R7),ISBLANK('01_results_input'!F5),ISBLANK('01_results_input'!G5)),"",IF(AND(Q7='01_results_input'!F5,R7='01_results_input'!G5),pts_group_toto+pts_group_exact_bonus,IF(OR(AND(Q7&gt;R7,'01_results_input'!F5&gt;'01_results_input'!G5),AND(Q7&lt;R7,'01_results_input'!F5&lt;'01_results_input'!G5),AND(Q7=R7,'01_results_input'!F5='01_results_input'!G5)),pts_group_toto,0)))</f>
      </c>
      <c r="KI7">
        <f>IF(OR(ISBLANK(U7),ISBLANK(V7),ISBLANK('01_results_input'!F6),ISBLANK('01_results_input'!G6)),"",IF(AND(U7='01_results_input'!F6,V7='01_results_input'!G6),pts_group_toto+pts_group_exact_bonus,IF(OR(AND(U7&gt;V7,'01_results_input'!F6&gt;'01_results_input'!G6),AND(U7&lt;V7,'01_results_input'!F6&lt;'01_results_input'!G6),AND(U7=V7,'01_results_input'!F6='01_results_input'!G6)),pts_group_toto,0)))</f>
      </c>
      <c r="KJ7">
        <f>IF(OR(ISBLANK(Y7),ISBLANK(Z7),ISBLANK('01_results_input'!F7),ISBLANK('01_results_input'!G7)),"",IF(AND(Y7='01_results_input'!F7,Z7='01_results_input'!G7),pts_group_toto+pts_group_exact_bonus,IF(OR(AND(Y7&gt;Z7,'01_results_input'!F7&gt;'01_results_input'!G7),AND(Y7&lt;Z7,'01_results_input'!F7&lt;'01_results_input'!G7),AND(Y7=Z7,'01_results_input'!F7='01_results_input'!G7)),pts_group_toto,0)))</f>
      </c>
      <c r="KK7">
        <f>IF(OR(ISBLANK(AC7),ISBLANK(AD7),ISBLANK('01_results_input'!F8),ISBLANK('01_results_input'!G8)),"",IF(AND(AC7='01_results_input'!F8,AD7='01_results_input'!G8),pts_group_toto+pts_group_exact_bonus,IF(OR(AND(AC7&gt;AD7,'01_results_input'!F8&gt;'01_results_input'!G8),AND(AC7&lt;AD7,'01_results_input'!F8&lt;'01_results_input'!G8),AND(AC7=AD7,'01_results_input'!F8='01_results_input'!G8)),pts_group_toto,0)))</f>
      </c>
      <c r="KL7">
        <f>IF(OR(ISBLANK(AG7),ISBLANK(AH7),ISBLANK('01_results_input'!F9),ISBLANK('01_results_input'!G9)),"",IF(AND(AG7='01_results_input'!F9,AH7='01_results_input'!G9),pts_group_toto+pts_group_exact_bonus,IF(OR(AND(AG7&gt;AH7,'01_results_input'!F9&gt;'01_results_input'!G9),AND(AG7&lt;AH7,'01_results_input'!F9&lt;'01_results_input'!G9),AND(AG7=AH7,'01_results_input'!F9='01_results_input'!G9)),pts_group_toto,0)))</f>
      </c>
      <c r="KM7">
        <f>IF(OR(ISBLANK(AK7),ISBLANK(AL7),ISBLANK('01_results_input'!F10),ISBLANK('01_results_input'!G10)),"",IF(AND(AK7='01_results_input'!F10,AL7='01_results_input'!G10),pts_group_toto+pts_group_exact_bonus,IF(OR(AND(AK7&gt;AL7,'01_results_input'!F10&gt;'01_results_input'!G10),AND(AK7&lt;AL7,'01_results_input'!F10&lt;'01_results_input'!G10),AND(AK7=AL7,'01_results_input'!F10='01_results_input'!G10)),pts_group_toto,0)))</f>
      </c>
      <c r="KN7">
        <f>IF(OR(ISBLANK(AO7),ISBLANK(AP7),ISBLANK('01_results_input'!F11),ISBLANK('01_results_input'!G11)),"",IF(AND(AO7='01_results_input'!F11,AP7='01_results_input'!G11),pts_group_toto+pts_group_exact_bonus,IF(OR(AND(AO7&gt;AP7,'01_results_input'!F11&gt;'01_results_input'!G11),AND(AO7&lt;AP7,'01_results_input'!F11&lt;'01_results_input'!G11),AND(AO7=AP7,'01_results_input'!F11='01_results_input'!G11)),pts_group_toto,0)))</f>
      </c>
      <c r="KO7">
        <f>IF(OR(ISBLANK(AS7),ISBLANK(AT7),ISBLANK('01_results_input'!F12),ISBLANK('01_results_input'!G12)),"",IF(AND(AS7='01_results_input'!F12,AT7='01_results_input'!G12),pts_group_toto+pts_group_exact_bonus,IF(OR(AND(AS7&gt;AT7,'01_results_input'!F12&gt;'01_results_input'!G12),AND(AS7&lt;AT7,'01_results_input'!F12&lt;'01_results_input'!G12),AND(AS7=AT7,'01_results_input'!F12='01_results_input'!G12)),pts_group_toto,0)))</f>
      </c>
      <c r="KP7">
        <f>IF(OR(ISBLANK(AW7),ISBLANK(AX7),ISBLANK('01_results_input'!F13),ISBLANK('01_results_input'!G13)),"",IF(AND(AW7='01_results_input'!F13,AX7='01_results_input'!G13),pts_group_toto+pts_group_exact_bonus,IF(OR(AND(AW7&gt;AX7,'01_results_input'!F13&gt;'01_results_input'!G13),AND(AW7&lt;AX7,'01_results_input'!F13&lt;'01_results_input'!G13),AND(AW7=AX7,'01_results_input'!F13='01_results_input'!G13)),pts_group_toto,0)))</f>
      </c>
      <c r="KQ7">
        <f>IF(OR(ISBLANK(BA7),ISBLANK(BB7),ISBLANK('01_results_input'!F14),ISBLANK('01_results_input'!G14)),"",IF(AND(BA7='01_results_input'!F14,BB7='01_results_input'!G14),pts_group_toto+pts_group_exact_bonus,IF(OR(AND(BA7&gt;BB7,'01_results_input'!F14&gt;'01_results_input'!G14),AND(BA7&lt;BB7,'01_results_input'!F14&lt;'01_results_input'!G14),AND(BA7=BB7,'01_results_input'!F14='01_results_input'!G14)),pts_group_toto,0)))</f>
      </c>
      <c r="KR7">
        <f>IF(OR(ISBLANK(BE7),ISBLANK(BF7),ISBLANK('01_results_input'!F15),ISBLANK('01_results_input'!G15)),"",IF(AND(BE7='01_results_input'!F15,BF7='01_results_input'!G15),pts_group_toto+pts_group_exact_bonus,IF(OR(AND(BE7&gt;BF7,'01_results_input'!F15&gt;'01_results_input'!G15),AND(BE7&lt;BF7,'01_results_input'!F15&lt;'01_results_input'!G15),AND(BE7=BF7,'01_results_input'!F15='01_results_input'!G15)),pts_group_toto,0)))</f>
      </c>
      <c r="KS7">
        <f>IF(OR(ISBLANK(BI7),ISBLANK(BJ7),ISBLANK('01_results_input'!F16),ISBLANK('01_results_input'!G16)),"",IF(AND(BI7='01_results_input'!F16,BJ7='01_results_input'!G16),pts_group_toto+pts_group_exact_bonus,IF(OR(AND(BI7&gt;BJ7,'01_results_input'!F16&gt;'01_results_input'!G16),AND(BI7&lt;BJ7,'01_results_input'!F16&lt;'01_results_input'!G16),AND(BI7=BJ7,'01_results_input'!F16='01_results_input'!G16)),pts_group_toto,0)))</f>
      </c>
      <c r="KT7">
        <f>IF(OR(ISBLANK(BM7),ISBLANK(BN7),ISBLANK('01_results_input'!F17),ISBLANK('01_results_input'!G17)),"",IF(AND(BM7='01_results_input'!F17,BN7='01_results_input'!G17),pts_group_toto+pts_group_exact_bonus,IF(OR(AND(BM7&gt;BN7,'01_results_input'!F17&gt;'01_results_input'!G17),AND(BM7&lt;BN7,'01_results_input'!F17&lt;'01_results_input'!G17),AND(BM7=BN7,'01_results_input'!F17='01_results_input'!G17)),pts_group_toto,0)))</f>
      </c>
      <c r="KU7">
        <f>IF(OR(ISBLANK(BQ7),ISBLANK(BR7),ISBLANK('01_results_input'!F18),ISBLANK('01_results_input'!G18)),"",IF(AND(BQ7='01_results_input'!F18,BR7='01_results_input'!G18),pts_group_toto+pts_group_exact_bonus,IF(OR(AND(BQ7&gt;BR7,'01_results_input'!F18&gt;'01_results_input'!G18),AND(BQ7&lt;BR7,'01_results_input'!F18&lt;'01_results_input'!G18),AND(BQ7=BR7,'01_results_input'!F18='01_results_input'!G18)),pts_group_toto,0)))</f>
      </c>
      <c r="KV7">
        <f>IF(OR(ISBLANK(BU7),ISBLANK(BV7),ISBLANK('01_results_input'!F19),ISBLANK('01_results_input'!G19)),"",IF(AND(BU7='01_results_input'!F19,BV7='01_results_input'!G19),pts_group_toto+pts_group_exact_bonus,IF(OR(AND(BU7&gt;BV7,'01_results_input'!F19&gt;'01_results_input'!G19),AND(BU7&lt;BV7,'01_results_input'!F19&lt;'01_results_input'!G19),AND(BU7=BV7,'01_results_input'!F19='01_results_input'!G19)),pts_group_toto,0)))</f>
      </c>
      <c r="KW7">
        <f>IF(OR(ISBLANK(BY7),ISBLANK(BZ7),ISBLANK('01_results_input'!F20),ISBLANK('01_results_input'!G20)),"",IF(AND(BY7='01_results_input'!F20,BZ7='01_results_input'!G20),pts_group_toto+pts_group_exact_bonus,IF(OR(AND(BY7&gt;BZ7,'01_results_input'!F20&gt;'01_results_input'!G20),AND(BY7&lt;BZ7,'01_results_input'!F20&lt;'01_results_input'!G20),AND(BY7=BZ7,'01_results_input'!F20='01_results_input'!G20)),pts_group_toto,0)))</f>
      </c>
      <c r="KX7">
        <f>IF(OR(ISBLANK(CC7),ISBLANK(CD7),ISBLANK('01_results_input'!F21),ISBLANK('01_results_input'!G21)),"",IF(AND(CC7='01_results_input'!F21,CD7='01_results_input'!G21),pts_group_toto+pts_group_exact_bonus,IF(OR(AND(CC7&gt;CD7,'01_results_input'!F21&gt;'01_results_input'!G21),AND(CC7&lt;CD7,'01_results_input'!F21&lt;'01_results_input'!G21),AND(CC7=CD7,'01_results_input'!F21='01_results_input'!G21)),pts_group_toto,0)))</f>
      </c>
      <c r="KY7">
        <f>IF(OR(ISBLANK(CG7),ISBLANK(CH7),ISBLANK('01_results_input'!F22),ISBLANK('01_results_input'!G22)),"",IF(AND(CG7='01_results_input'!F22,CH7='01_results_input'!G22),pts_group_toto+pts_group_exact_bonus,IF(OR(AND(CG7&gt;CH7,'01_results_input'!F22&gt;'01_results_input'!G22),AND(CG7&lt;CH7,'01_results_input'!F22&lt;'01_results_input'!G22),AND(CG7=CH7,'01_results_input'!F22='01_results_input'!G22)),pts_group_toto,0)))</f>
      </c>
      <c r="KZ7">
        <f>IF(OR(ISBLANK(CK7),ISBLANK(CL7),ISBLANK('01_results_input'!F23),ISBLANK('01_results_input'!G23)),"",IF(AND(CK7='01_results_input'!F23,CL7='01_results_input'!G23),pts_group_toto+pts_group_exact_bonus,IF(OR(AND(CK7&gt;CL7,'01_results_input'!F23&gt;'01_results_input'!G23),AND(CK7&lt;CL7,'01_results_input'!F23&lt;'01_results_input'!G23),AND(CK7=CL7,'01_results_input'!F23='01_results_input'!G23)),pts_group_toto,0)))</f>
      </c>
      <c r="LA7">
        <f>IF(OR(ISBLANK(CO7),ISBLANK(CP7),ISBLANK('01_results_input'!F24),ISBLANK('01_results_input'!G24)),"",IF(AND(CO7='01_results_input'!F24,CP7='01_results_input'!G24),pts_group_toto+pts_group_exact_bonus,IF(OR(AND(CO7&gt;CP7,'01_results_input'!F24&gt;'01_results_input'!G24),AND(CO7&lt;CP7,'01_results_input'!F24&lt;'01_results_input'!G24),AND(CO7=CP7,'01_results_input'!F24='01_results_input'!G24)),pts_group_toto,0)))</f>
      </c>
      <c r="LB7">
        <f>IF(OR(ISBLANK(CS7),ISBLANK(CT7),ISBLANK('01_results_input'!F25),ISBLANK('01_results_input'!G25)),"",IF(AND(CS7='01_results_input'!F25,CT7='01_results_input'!G25),pts_group_toto+pts_group_exact_bonus,IF(OR(AND(CS7&gt;CT7,'01_results_input'!F25&gt;'01_results_input'!G25),AND(CS7&lt;CT7,'01_results_input'!F25&lt;'01_results_input'!G25),AND(CS7=CT7,'01_results_input'!F25='01_results_input'!G25)),pts_group_toto,0)))</f>
      </c>
      <c r="LC7">
        <f>IF(OR(ISBLANK(CW7),ISBLANK(CX7),ISBLANK('01_results_input'!F26),ISBLANK('01_results_input'!G26)),"",IF(AND(CW7='01_results_input'!F26,CX7='01_results_input'!G26),pts_group_toto+pts_group_exact_bonus,IF(OR(AND(CW7&gt;CX7,'01_results_input'!F26&gt;'01_results_input'!G26),AND(CW7&lt;CX7,'01_results_input'!F26&lt;'01_results_input'!G26),AND(CW7=CX7,'01_results_input'!F26='01_results_input'!G26)),pts_group_toto,0)))</f>
      </c>
      <c r="LD7">
        <f>IF(OR(ISBLANK(DA7),ISBLANK(DB7),ISBLANK('01_results_input'!F27),ISBLANK('01_results_input'!G27)),"",IF(AND(DA7='01_results_input'!F27,DB7='01_results_input'!G27),pts_group_toto+pts_group_exact_bonus,IF(OR(AND(DA7&gt;DB7,'01_results_input'!F27&gt;'01_results_input'!G27),AND(DA7&lt;DB7,'01_results_input'!F27&lt;'01_results_input'!G27),AND(DA7=DB7,'01_results_input'!F27='01_results_input'!G27)),pts_group_toto,0)))</f>
      </c>
      <c r="LE7">
        <f>IF(OR(ISBLANK(DE7),ISBLANK(DF7),ISBLANK('01_results_input'!F28),ISBLANK('01_results_input'!G28)),"",IF(AND(DE7='01_results_input'!F28,DF7='01_results_input'!G28),pts_group_toto+pts_group_exact_bonus,IF(OR(AND(DE7&gt;DF7,'01_results_input'!F28&gt;'01_results_input'!G28),AND(DE7&lt;DF7,'01_results_input'!F28&lt;'01_results_input'!G28),AND(DE7=DF7,'01_results_input'!F28='01_results_input'!G28)),pts_group_toto,0)))</f>
      </c>
      <c r="LF7">
        <f>IF(OR(ISBLANK(DI7),ISBLANK(DJ7),ISBLANK('01_results_input'!F29),ISBLANK('01_results_input'!G29)),"",IF(AND(DI7='01_results_input'!F29,DJ7='01_results_input'!G29),pts_group_toto+pts_group_exact_bonus,IF(OR(AND(DI7&gt;DJ7,'01_results_input'!F29&gt;'01_results_input'!G29),AND(DI7&lt;DJ7,'01_results_input'!F29&lt;'01_results_input'!G29),AND(DI7=DJ7,'01_results_input'!F29='01_results_input'!G29)),pts_group_toto,0)))</f>
      </c>
      <c r="LG7">
        <f>IF(OR(ISBLANK(DM7),ISBLANK(DN7),ISBLANK('01_results_input'!F30),ISBLANK('01_results_input'!G30)),"",IF(AND(DM7='01_results_input'!F30,DN7='01_results_input'!G30),pts_group_toto+pts_group_exact_bonus,IF(OR(AND(DM7&gt;DN7,'01_results_input'!F30&gt;'01_results_input'!G30),AND(DM7&lt;DN7,'01_results_input'!F30&lt;'01_results_input'!G30),AND(DM7=DN7,'01_results_input'!F30='01_results_input'!G30)),pts_group_toto,0)))</f>
      </c>
      <c r="LH7">
        <f>IF(OR(ISBLANK(DQ7),ISBLANK(DR7),ISBLANK('01_results_input'!F31),ISBLANK('01_results_input'!G31)),"",IF(AND(DQ7='01_results_input'!F31,DR7='01_results_input'!G31),pts_group_toto+pts_group_exact_bonus,IF(OR(AND(DQ7&gt;DR7,'01_results_input'!F31&gt;'01_results_input'!G31),AND(DQ7&lt;DR7,'01_results_input'!F31&lt;'01_results_input'!G31),AND(DQ7=DR7,'01_results_input'!F31='01_results_input'!G31)),pts_group_toto,0)))</f>
      </c>
      <c r="LI7">
        <f>IF(OR(ISBLANK(DU7),ISBLANK(DV7),ISBLANK('01_results_input'!F32),ISBLANK('01_results_input'!G32)),"",IF(AND(DU7='01_results_input'!F32,DV7='01_results_input'!G32),pts_group_toto+pts_group_exact_bonus,IF(OR(AND(DU7&gt;DV7,'01_results_input'!F32&gt;'01_results_input'!G32),AND(DU7&lt;DV7,'01_results_input'!F32&lt;'01_results_input'!G32),AND(DU7=DV7,'01_results_input'!F32='01_results_input'!G32)),pts_group_toto,0)))</f>
      </c>
      <c r="LJ7">
        <f>IF(OR(ISBLANK(DY7),ISBLANK(DZ7),ISBLANK('01_results_input'!F33),ISBLANK('01_results_input'!G33)),"",IF(AND(DY7='01_results_input'!F33,DZ7='01_results_input'!G33),pts_group_toto+pts_group_exact_bonus,IF(OR(AND(DY7&gt;DZ7,'01_results_input'!F33&gt;'01_results_input'!G33),AND(DY7&lt;DZ7,'01_results_input'!F33&lt;'01_results_input'!G33),AND(DY7=DZ7,'01_results_input'!F33='01_results_input'!G33)),pts_group_toto,0)))</f>
      </c>
      <c r="LK7">
        <f>IF(OR(ISBLANK(EC7),ISBLANK(ED7),ISBLANK('01_results_input'!F34),ISBLANK('01_results_input'!G34)),"",IF(AND(EC7='01_results_input'!F34,ED7='01_results_input'!G34),pts_group_toto+pts_group_exact_bonus,IF(OR(AND(EC7&gt;ED7,'01_results_input'!F34&gt;'01_results_input'!G34),AND(EC7&lt;ED7,'01_results_input'!F34&lt;'01_results_input'!G34),AND(EC7=ED7,'01_results_input'!F34='01_results_input'!G34)),pts_group_toto,0)))</f>
      </c>
      <c r="LL7">
        <f>IF(OR(ISBLANK(EG7),ISBLANK(EH7),ISBLANK('01_results_input'!F35),ISBLANK('01_results_input'!G35)),"",IF(AND(EG7='01_results_input'!F35,EH7='01_results_input'!G35),pts_group_toto+pts_group_exact_bonus,IF(OR(AND(EG7&gt;EH7,'01_results_input'!F35&gt;'01_results_input'!G35),AND(EG7&lt;EH7,'01_results_input'!F35&lt;'01_results_input'!G35),AND(EG7=EH7,'01_results_input'!F35='01_results_input'!G35)),pts_group_toto,0)))</f>
      </c>
      <c r="LM7">
        <f>IF(OR(ISBLANK(EK7),ISBLANK(EL7),ISBLANK('01_results_input'!F36),ISBLANK('01_results_input'!G36)),"",IF(AND(EK7='01_results_input'!F36,EL7='01_results_input'!G36),pts_group_toto+pts_group_exact_bonus,IF(OR(AND(EK7&gt;EL7,'01_results_input'!F36&gt;'01_results_input'!G36),AND(EK7&lt;EL7,'01_results_input'!F36&lt;'01_results_input'!G36),AND(EK7=EL7,'01_results_input'!F36='01_results_input'!G36)),pts_group_toto,0)))</f>
      </c>
      <c r="LN7">
        <f>IF(OR(ISBLANK(EO7),ISBLANK(EP7),ISBLANK('01_results_input'!F37),ISBLANK('01_results_input'!G37)),"",IF(AND(EO7='01_results_input'!F37,EP7='01_results_input'!G37),pts_group_toto+pts_group_exact_bonus,IF(OR(AND(EO7&gt;EP7,'01_results_input'!F37&gt;'01_results_input'!G37),AND(EO7&lt;EP7,'01_results_input'!F37&lt;'01_results_input'!G37),AND(EO7=EP7,'01_results_input'!F37='01_results_input'!G37)),pts_group_toto,0)))</f>
      </c>
      <c r="LO7">
        <f>IF(OR(ISBLANK(ES7),ISBLANK(ET7),ISBLANK('01_results_input'!F38),ISBLANK('01_results_input'!G38)),"",IF(AND(ES7='01_results_input'!F38,ET7='01_results_input'!G38),pts_group_toto+pts_group_exact_bonus,IF(OR(AND(ES7&gt;ET7,'01_results_input'!F38&gt;'01_results_input'!G38),AND(ES7&lt;ET7,'01_results_input'!F38&lt;'01_results_input'!G38),AND(ES7=ET7,'01_results_input'!F38='01_results_input'!G38)),pts_group_toto,0)))</f>
      </c>
      <c r="LP7">
        <f>IF(OR(ISBLANK(EW7),ISBLANK(EX7),ISBLANK('01_results_input'!F39),ISBLANK('01_results_input'!G39)),"",IF(AND(EW7='01_results_input'!F39,EX7='01_results_input'!G39),pts_group_toto+pts_group_exact_bonus,IF(OR(AND(EW7&gt;EX7,'01_results_input'!F39&gt;'01_results_input'!G39),AND(EW7&lt;EX7,'01_results_input'!F39&lt;'01_results_input'!G39),AND(EW7=EX7,'01_results_input'!F39='01_results_input'!G39)),pts_group_toto,0)))</f>
      </c>
      <c r="LQ7">
        <f>IF(OR(ISBLANK(FA7),ISBLANK(FB7),ISBLANK('01_results_input'!F40),ISBLANK('01_results_input'!G40)),"",IF(AND(FA7='01_results_input'!F40,FB7='01_results_input'!G40),pts_group_toto+pts_group_exact_bonus,IF(OR(AND(FA7&gt;FB7,'01_results_input'!F40&gt;'01_results_input'!G40),AND(FA7&lt;FB7,'01_results_input'!F40&lt;'01_results_input'!G40),AND(FA7=FB7,'01_results_input'!F40='01_results_input'!G40)),pts_group_toto,0)))</f>
      </c>
      <c r="LR7">
        <f>IF(OR(ISBLANK(FE7),ISBLANK(FF7),ISBLANK('01_results_input'!F41),ISBLANK('01_results_input'!G41)),"",IF(AND(FE7='01_results_input'!F41,FF7='01_results_input'!G41),pts_group_toto+pts_group_exact_bonus,IF(OR(AND(FE7&gt;FF7,'01_results_input'!F41&gt;'01_results_input'!G41),AND(FE7&lt;FF7,'01_results_input'!F41&lt;'01_results_input'!G41),AND(FE7=FF7,'01_results_input'!F41='01_results_input'!G41)),pts_group_toto,0)))</f>
      </c>
      <c r="LS7">
        <f>IF(OR(ISBLANK(FI7),ISBLANK(FJ7),ISBLANK('01_results_input'!F42),ISBLANK('01_results_input'!G42)),"",IF(AND(FI7='01_results_input'!F42,FJ7='01_results_input'!G42),pts_group_toto+pts_group_exact_bonus,IF(OR(AND(FI7&gt;FJ7,'01_results_input'!F42&gt;'01_results_input'!G42),AND(FI7&lt;FJ7,'01_results_input'!F42&lt;'01_results_input'!G42),AND(FI7=FJ7,'01_results_input'!F42='01_results_input'!G42)),pts_group_toto,0)))</f>
      </c>
      <c r="LT7">
        <f>IF(OR(ISBLANK(FM7),ISBLANK(FN7),ISBLANK('01_results_input'!F43),ISBLANK('01_results_input'!G43)),"",IF(AND(FM7='01_results_input'!F43,FN7='01_results_input'!G43),pts_group_toto+pts_group_exact_bonus,IF(OR(AND(FM7&gt;FN7,'01_results_input'!F43&gt;'01_results_input'!G43),AND(FM7&lt;FN7,'01_results_input'!F43&lt;'01_results_input'!G43),AND(FM7=FN7,'01_results_input'!F43='01_results_input'!G43)),pts_group_toto,0)))</f>
      </c>
      <c r="LU7">
        <f>IF(OR(ISBLANK(FQ7),ISBLANK(FR7),ISBLANK('01_results_input'!F44),ISBLANK('01_results_input'!G44)),"",IF(AND(FQ7='01_results_input'!F44,FR7='01_results_input'!G44),pts_group_toto+pts_group_exact_bonus,IF(OR(AND(FQ7&gt;FR7,'01_results_input'!F44&gt;'01_results_input'!G44),AND(FQ7&lt;FR7,'01_results_input'!F44&lt;'01_results_input'!G44),AND(FQ7=FR7,'01_results_input'!F44='01_results_input'!G44)),pts_group_toto,0)))</f>
      </c>
      <c r="LV7">
        <f>IF(OR(ISBLANK(FU7),ISBLANK(FV7),ISBLANK('01_results_input'!F45),ISBLANK('01_results_input'!G45)),"",IF(AND(FU7='01_results_input'!F45,FV7='01_results_input'!G45),pts_group_toto+pts_group_exact_bonus,IF(OR(AND(FU7&gt;FV7,'01_results_input'!F45&gt;'01_results_input'!G45),AND(FU7&lt;FV7,'01_results_input'!F45&lt;'01_results_input'!G45),AND(FU7=FV7,'01_results_input'!F45='01_results_input'!G45)),pts_group_toto,0)))</f>
      </c>
      <c r="LW7">
        <f>IF(OR(ISBLANK(FY7),ISBLANK(FZ7),ISBLANK('01_results_input'!F46),ISBLANK('01_results_input'!G46)),"",IF(AND(FY7='01_results_input'!F46,FZ7='01_results_input'!G46),pts_group_toto+pts_group_exact_bonus,IF(OR(AND(FY7&gt;FZ7,'01_results_input'!F46&gt;'01_results_input'!G46),AND(FY7&lt;FZ7,'01_results_input'!F46&lt;'01_results_input'!G46),AND(FY7=FZ7,'01_results_input'!F46='01_results_input'!G46)),pts_group_toto,0)))</f>
      </c>
      <c r="LX7">
        <f>IF(OR(ISBLANK(GC7),ISBLANK(GD7),ISBLANK('01_results_input'!F47),ISBLANK('01_results_input'!G47)),"",IF(AND(GC7='01_results_input'!F47,GD7='01_results_input'!G47),pts_group_toto+pts_group_exact_bonus,IF(OR(AND(GC7&gt;GD7,'01_results_input'!F47&gt;'01_results_input'!G47),AND(GC7&lt;GD7,'01_results_input'!F47&lt;'01_results_input'!G47),AND(GC7=GD7,'01_results_input'!F47='01_results_input'!G47)),pts_group_toto,0)))</f>
      </c>
      <c r="LY7">
        <f>IF(OR(ISBLANK(GG7),ISBLANK(GH7),ISBLANK('01_results_input'!F48),ISBLANK('01_results_input'!G48)),"",IF(AND(GG7='01_results_input'!F48,GH7='01_results_input'!G48),pts_group_toto+pts_group_exact_bonus,IF(OR(AND(GG7&gt;GH7,'01_results_input'!F48&gt;'01_results_input'!G48),AND(GG7&lt;GH7,'01_results_input'!F48&lt;'01_results_input'!G48),AND(GG7=GH7,'01_results_input'!F48='01_results_input'!G48)),pts_group_toto,0)))</f>
      </c>
      <c r="LZ7">
        <f>IF(OR(ISBLANK(GK7),ISBLANK(GL7),ISBLANK('01_results_input'!F49),ISBLANK('01_results_input'!G49)),"",IF(AND(GK7='01_results_input'!F49,GL7='01_results_input'!G49),pts_group_toto+pts_group_exact_bonus,IF(OR(AND(GK7&gt;GL7,'01_results_input'!F49&gt;'01_results_input'!G49),AND(GK7&lt;GL7,'01_results_input'!F49&lt;'01_results_input'!G49),AND(GK7=GL7,'01_results_input'!F49='01_results_input'!G49)),pts_group_toto,0)))</f>
      </c>
      <c r="MA7">
        <f>IF(OR(ISBLANK(GO7),ISBLANK(GP7),ISBLANK('01_results_input'!F50),ISBLANK('01_results_input'!G50)),"",IF(AND(GO7='01_results_input'!F50,GP7='01_results_input'!G50),pts_group_toto+pts_group_exact_bonus,IF(OR(AND(GO7&gt;GP7,'01_results_input'!F50&gt;'01_results_input'!G50),AND(GO7&lt;GP7,'01_results_input'!F50&lt;'01_results_input'!G50),AND(GO7=GP7,'01_results_input'!F50='01_results_input'!G50)),pts_group_toto,0)))</f>
      </c>
      <c r="MB7">
        <f>IF(OR(ISBLANK(GS7),ISBLANK(GT7),ISBLANK('01_results_input'!F51),ISBLANK('01_results_input'!G51)),"",IF(AND(GS7='01_results_input'!F51,GT7='01_results_input'!G51),pts_group_toto+pts_group_exact_bonus,IF(OR(AND(GS7&gt;GT7,'01_results_input'!F51&gt;'01_results_input'!G51),AND(GS7&lt;GT7,'01_results_input'!F51&lt;'01_results_input'!G51),AND(GS7=GT7,'01_results_input'!F51='01_results_input'!G51)),pts_group_toto,0)))</f>
      </c>
      <c r="MC7">
        <f>IF(OR(ISBLANK(GW7),ISBLANK(GX7),ISBLANK('01_results_input'!F52),ISBLANK('01_results_input'!G52)),"",IF(AND(GW7='01_results_input'!F52,GX7='01_results_input'!G52),pts_group_toto+pts_group_exact_bonus,IF(OR(AND(GW7&gt;GX7,'01_results_input'!F52&gt;'01_results_input'!G52),AND(GW7&lt;GX7,'01_results_input'!F52&lt;'01_results_input'!G52),AND(GW7=GX7,'01_results_input'!F52='01_results_input'!G52)),pts_group_toto,0)))</f>
      </c>
      <c r="MD7">
        <f>IF(OR(ISBLANK(HA7),ISBLANK(HB7),ISBLANK('01_results_input'!F53),ISBLANK('01_results_input'!G53)),"",IF(AND(HA7='01_results_input'!F53,HB7='01_results_input'!G53),pts_group_toto+pts_group_exact_bonus,IF(OR(AND(HA7&gt;HB7,'01_results_input'!F53&gt;'01_results_input'!G53),AND(HA7&lt;HB7,'01_results_input'!F53&lt;'01_results_input'!G53),AND(HA7=HB7,'01_results_input'!F53='01_results_input'!G53)),pts_group_toto,0)))</f>
      </c>
      <c r="ME7">
        <f>IF(OR(ISBLANK(HE7),ISBLANK(HF7),ISBLANK('01_results_input'!F54),ISBLANK('01_results_input'!G54)),"",IF(AND(HE7='01_results_input'!F54,HF7='01_results_input'!G54),pts_group_toto+pts_group_exact_bonus,IF(OR(AND(HE7&gt;HF7,'01_results_input'!F54&gt;'01_results_input'!G54),AND(HE7&lt;HF7,'01_results_input'!F54&lt;'01_results_input'!G54),AND(HE7=HF7,'01_results_input'!F54='01_results_input'!G54)),pts_group_toto,0)))</f>
      </c>
      <c r="MF7">
        <f>IF(OR(ISBLANK(HI7),ISBLANK(HJ7),ISBLANK('01_results_input'!F55),ISBLANK('01_results_input'!G55)),"",IF(AND(HI7='01_results_input'!F55,HJ7='01_results_input'!G55),pts_group_toto+pts_group_exact_bonus,IF(OR(AND(HI7&gt;HJ7,'01_results_input'!F55&gt;'01_results_input'!G55),AND(HI7&lt;HJ7,'01_results_input'!F55&lt;'01_results_input'!G55),AND(HI7=HJ7,'01_results_input'!F55='01_results_input'!G55)),pts_group_toto,0)))</f>
      </c>
      <c r="MG7">
        <f>IF(OR(ISBLANK(HM7),ISBLANK(HN7),ISBLANK('01_results_input'!F56),ISBLANK('01_results_input'!G56)),"",IF(AND(HM7='01_results_input'!F56,HN7='01_results_input'!G56),pts_group_toto+pts_group_exact_bonus,IF(OR(AND(HM7&gt;HN7,'01_results_input'!F56&gt;'01_results_input'!G56),AND(HM7&lt;HN7,'01_results_input'!F56&lt;'01_results_input'!G56),AND(HM7=HN7,'01_results_input'!F56='01_results_input'!G56)),pts_group_toto,0)))</f>
      </c>
      <c r="MH7">
        <f>IF(OR(ISBLANK(HQ7),ISBLANK(HR7),ISBLANK('01_results_input'!F57),ISBLANK('01_results_input'!G57)),"",IF(AND(HQ7='01_results_input'!F57,HR7='01_results_input'!G57),pts_group_toto+pts_group_exact_bonus,IF(OR(AND(HQ7&gt;HR7,'01_results_input'!F57&gt;'01_results_input'!G57),AND(HQ7&lt;HR7,'01_results_input'!F57&lt;'01_results_input'!G57),AND(HQ7=HR7,'01_results_input'!F57='01_results_input'!G57)),pts_group_toto,0)))</f>
      </c>
      <c r="MI7">
        <f>IF(OR(ISBLANK(HU7),ISBLANK(HV7),ISBLANK('01_results_input'!F58),ISBLANK('01_results_input'!G58)),"",IF(AND(HU7='01_results_input'!F58,HV7='01_results_input'!G58),pts_group_toto+pts_group_exact_bonus,IF(OR(AND(HU7&gt;HV7,'01_results_input'!F58&gt;'01_results_input'!G58),AND(HU7&lt;HV7,'01_results_input'!F58&lt;'01_results_input'!G58),AND(HU7=HV7,'01_results_input'!F58='01_results_input'!G58)),pts_group_toto,0)))</f>
      </c>
      <c r="MJ7">
        <f>IF(OR(ISBLANK(HY7),ISBLANK(HZ7),ISBLANK('01_results_input'!F59),ISBLANK('01_results_input'!G59)),"",IF(AND(HY7='01_results_input'!F59,HZ7='01_results_input'!G59),pts_group_toto+pts_group_exact_bonus,IF(OR(AND(HY7&gt;HZ7,'01_results_input'!F59&gt;'01_results_input'!G59),AND(HY7&lt;HZ7,'01_results_input'!F59&lt;'01_results_input'!G59),AND(HY7=HZ7,'01_results_input'!F59='01_results_input'!G59)),pts_group_toto,0)))</f>
      </c>
      <c r="MK7">
        <f>IF(OR(ISBLANK(IC7),ISBLANK(ID7),ISBLANK('01_results_input'!F60),ISBLANK('01_results_input'!G60)),"",IF(AND(IC7='01_results_input'!F60,ID7='01_results_input'!G60),pts_group_toto+pts_group_exact_bonus,IF(OR(AND(IC7&gt;ID7,'01_results_input'!F60&gt;'01_results_input'!G60),AND(IC7&lt;ID7,'01_results_input'!F60&lt;'01_results_input'!G60),AND(IC7=ID7,'01_results_input'!F60='01_results_input'!G60)),pts_group_toto,0)))</f>
      </c>
      <c r="ML7">
        <f>IF(OR(ISBLANK(IG7),ISBLANK(IH7),ISBLANK('01_results_input'!F61),ISBLANK('01_results_input'!G61)),"",IF(AND(IG7='01_results_input'!F61,IH7='01_results_input'!G61),pts_group_toto+pts_group_exact_bonus,IF(OR(AND(IG7&gt;IH7,'01_results_input'!F61&gt;'01_results_input'!G61),AND(IG7&lt;IH7,'01_results_input'!F61&lt;'01_results_input'!G61),AND(IG7=IH7,'01_results_input'!F61='01_results_input'!G61)),pts_group_toto,0)))</f>
      </c>
      <c r="MM7">
        <f>IF(OR(ISBLANK(IK7),ISBLANK(IL7),ISBLANK('01_results_input'!F62),ISBLANK('01_results_input'!G62)),"",IF(AND(IK7='01_results_input'!F62,IL7='01_results_input'!G62),pts_group_toto+pts_group_exact_bonus,IF(OR(AND(IK7&gt;IL7,'01_results_input'!F62&gt;'01_results_input'!G62),AND(IK7&lt;IL7,'01_results_input'!F62&lt;'01_results_input'!G62),AND(IK7=IL7,'01_results_input'!F62='01_results_input'!G62)),pts_group_toto,0)))</f>
      </c>
      <c r="MN7">
        <f>IF(OR(ISBLANK(IO7),ISBLANK(IP7),ISBLANK('01_results_input'!F63),ISBLANK('01_results_input'!G63)),"",IF(AND(IO7='01_results_input'!F63,IP7='01_results_input'!G63),pts_group_toto+pts_group_exact_bonus,IF(OR(AND(IO7&gt;IP7,'01_results_input'!F63&gt;'01_results_input'!G63),AND(IO7&lt;IP7,'01_results_input'!F63&lt;'01_results_input'!G63),AND(IO7=IP7,'01_results_input'!F63='01_results_input'!G63)),pts_group_toto,0)))</f>
      </c>
      <c r="MO7">
        <f>IF(OR(ISBLANK(IS7),ISBLANK(IT7),ISBLANK('01_results_input'!F64),ISBLANK('01_results_input'!G64)),"",IF(AND(IS7='01_results_input'!F64,IT7='01_results_input'!G64),pts_group_toto+pts_group_exact_bonus,IF(OR(AND(IS7&gt;IT7,'01_results_input'!F64&gt;'01_results_input'!G64),AND(IS7&lt;IT7,'01_results_input'!F64&lt;'01_results_input'!G64),AND(IS7=IT7,'01_results_input'!F64='01_results_input'!G64)),pts_group_toto,0)))</f>
      </c>
      <c r="MP7">
        <f>IF(OR(ISBLANK(IW7),ISBLANK(IX7),ISBLANK('01_results_input'!F65),ISBLANK('01_results_input'!G65)),"",IF(AND(IW7='01_results_input'!F65,IX7='01_results_input'!G65),pts_group_toto+pts_group_exact_bonus,IF(OR(AND(IW7&gt;IX7,'01_results_input'!F65&gt;'01_results_input'!G65),AND(IW7&lt;IX7,'01_results_input'!F65&lt;'01_results_input'!G65),AND(IW7=IX7,'01_results_input'!F65='01_results_input'!G65)),pts_group_toto,0)))</f>
      </c>
      <c r="MQ7">
        <f>IF(OR(ISBLANK(JA7),ISBLANK(JB7),ISBLANK('01_results_input'!F66),ISBLANK('01_results_input'!G66)),"",IF(AND(JA7='01_results_input'!F66,JB7='01_results_input'!G66),pts_group_toto+pts_group_exact_bonus,IF(OR(AND(JA7&gt;JB7,'01_results_input'!F66&gt;'01_results_input'!G66),AND(JA7&lt;JB7,'01_results_input'!F66&lt;'01_results_input'!G66),AND(JA7=JB7,'01_results_input'!F66='01_results_input'!G66)),pts_group_toto,0)))</f>
      </c>
      <c r="MR7">
        <f>IF(OR(ISBLANK(JE7),ISBLANK(JF7),ISBLANK('01_results_input'!F67),ISBLANK('01_results_input'!G67)),"",IF(AND(JE7='01_results_input'!F67,JF7='01_results_input'!G67),pts_group_toto+pts_group_exact_bonus,IF(OR(AND(JE7&gt;JF7,'01_results_input'!F67&gt;'01_results_input'!G67),AND(JE7&lt;JF7,'01_results_input'!F67&lt;'01_results_input'!G67),AND(JE7=JF7,'01_results_input'!F67='01_results_input'!G67)),pts_group_toto,0)))</f>
      </c>
      <c r="MS7">
        <f>IF(OR(ISBLANK(JI7),ISBLANK(JJ7),ISBLANK('01_results_input'!F68),ISBLANK('01_results_input'!G68)),"",IF(AND(JI7='01_results_input'!F68,JJ7='01_results_input'!G68),pts_group_toto+pts_group_exact_bonus,IF(OR(AND(JI7&gt;JJ7,'01_results_input'!F68&gt;'01_results_input'!G68),AND(JI7&lt;JJ7,'01_results_input'!F68&lt;'01_results_input'!G68),AND(JI7=JJ7,'01_results_input'!F68='01_results_input'!G68)),pts_group_toto,0)))</f>
      </c>
      <c r="MT7">
        <f>IF(OR(ISBLANK(JM7),ISBLANK(JN7),ISBLANK('01_results_input'!F69),ISBLANK('01_results_input'!G69)),"",IF(AND(JM7='01_results_input'!F69,JN7='01_results_input'!G69),pts_group_toto+pts_group_exact_bonus,IF(OR(AND(JM7&gt;JN7,'01_results_input'!F69&gt;'01_results_input'!G69),AND(JM7&lt;JN7,'01_results_input'!F69&lt;'01_results_input'!G69),AND(JM7=JN7,'01_results_input'!F69='01_results_input'!G69)),pts_group_toto,0)))</f>
      </c>
      <c r="MU7">
        <f>IF(OR(ISBLANK(JQ7),ISBLANK(JR7),ISBLANK('01_results_input'!F70),ISBLANK('01_results_input'!G70)),"",IF(AND(JQ7='01_results_input'!F70,JR7='01_results_input'!G70),pts_group_toto+pts_group_exact_bonus,IF(OR(AND(JQ7&gt;JR7,'01_results_input'!F70&gt;'01_results_input'!G70),AND(JQ7&lt;JR7,'01_results_input'!F70&lt;'01_results_input'!G70),AND(JQ7=JR7,'01_results_input'!F70='01_results_input'!G70)),pts_group_toto,0)))</f>
      </c>
      <c r="MV7">
        <f>IF(OR(ISBLANK(JU7),ISBLANK(JV7),ISBLANK('01_results_input'!F71),ISBLANK('01_results_input'!G71)),"",IF(AND(JU7='01_results_input'!F71,JV7='01_results_input'!G71),pts_group_toto+pts_group_exact_bonus,IF(OR(AND(JU7&gt;JV7,'01_results_input'!F71&gt;'01_results_input'!G71),AND(JU7&lt;JV7,'01_results_input'!F71&lt;'01_results_input'!G71),AND(JU7=JV7,'01_results_input'!F71='01_results_input'!G71)),pts_group_toto,0)))</f>
      </c>
      <c r="MW7">
        <f>IF(OR(ISBLANK(JY7),ISBLANK(JZ7),ISBLANK('01_results_input'!F72),ISBLANK('01_results_input'!G72)),"",IF(AND(JY7='01_results_input'!F72,JZ7='01_results_input'!G72),pts_group_toto+pts_group_exact_bonus,IF(OR(AND(JY7&gt;JZ7,'01_results_input'!F72&gt;'01_results_input'!G72),AND(JY7&lt;JZ7,'01_results_input'!F72&lt;'01_results_input'!G72),AND(JY7=JZ7,'01_results_input'!F72='01_results_input'!G72)),pts_group_toto,0)))</f>
      </c>
      <c r="MX7">
        <f>IF(OR(ISBLANK(KC7),ISBLANK(KD7),ISBLANK('01_results_input'!F73),ISBLANK('01_results_input'!G73)),"",IF(AND(KC7='01_results_input'!F73,KD7='01_results_input'!G73),pts_group_toto+pts_group_exact_bonus,IF(OR(AND(KC7&gt;KD7,'01_results_input'!F73&gt;'01_results_input'!G73),AND(KC7&lt;KD7,'01_results_input'!F73&lt;'01_results_input'!G73),AND(KC7=KD7,'01_results_input'!F73='01_results_input'!G73)),pts_group_toto,0)))</f>
      </c>
      <c r="MY7">
        <f>SUM(KE7:MX7)</f>
      </c>
    </row>
    <row r="8" spans="1:363" x14ac:dyDescent="0.25">
      <c r="A8" t="s">
        <v>566</v>
      </c>
      <c r="B8" t="s">
        <v>567</v>
      </c>
      <c r="C8" t="s">
        <v>26</v>
      </c>
      <c r="D8" t="s">
        <v>27</v>
      </c>
      <c r="E8">
        <v>1</v>
      </c>
      <c r="F8">
        <v>1</v>
      </c>
      <c r="G8" t="s">
        <v>29</v>
      </c>
      <c r="H8" t="s">
        <v>30</v>
      </c>
      <c r="I8">
        <v>0</v>
      </c>
      <c r="J8">
        <v>0</v>
      </c>
      <c r="K8" t="s">
        <v>26</v>
      </c>
      <c r="L8" t="s">
        <v>29</v>
      </c>
      <c r="M8">
        <v>1</v>
      </c>
      <c r="N8">
        <v>1</v>
      </c>
      <c r="O8" t="s">
        <v>30</v>
      </c>
      <c r="P8" t="s">
        <v>27</v>
      </c>
      <c r="Q8">
        <v>0</v>
      </c>
      <c r="R8">
        <v>2</v>
      </c>
      <c r="S8" t="s">
        <v>30</v>
      </c>
      <c r="T8" t="s">
        <v>26</v>
      </c>
      <c r="U8">
        <v>2</v>
      </c>
      <c r="V8">
        <v>1</v>
      </c>
      <c r="W8" t="s">
        <v>27</v>
      </c>
      <c r="X8" t="s">
        <v>29</v>
      </c>
      <c r="Y8">
        <v>1</v>
      </c>
      <c r="Z8">
        <v>2</v>
      </c>
      <c r="AA8" t="s">
        <v>37</v>
      </c>
      <c r="AB8" t="s">
        <v>38</v>
      </c>
      <c r="AC8">
        <v>2</v>
      </c>
      <c r="AD8">
        <v>0</v>
      </c>
      <c r="AE8" t="s">
        <v>40</v>
      </c>
      <c r="AF8" t="s">
        <v>41</v>
      </c>
      <c r="AG8">
        <v>1</v>
      </c>
      <c r="AH8">
        <v>0</v>
      </c>
      <c r="AI8" t="s">
        <v>37</v>
      </c>
      <c r="AJ8" t="s">
        <v>40</v>
      </c>
      <c r="AK8">
        <v>2</v>
      </c>
      <c r="AL8">
        <v>0</v>
      </c>
      <c r="AM8" t="s">
        <v>41</v>
      </c>
      <c r="AN8" t="s">
        <v>38</v>
      </c>
      <c r="AO8">
        <v>2</v>
      </c>
      <c r="AP8">
        <v>1</v>
      </c>
      <c r="AQ8" t="s">
        <v>41</v>
      </c>
      <c r="AR8" t="s">
        <v>37</v>
      </c>
      <c r="AS8">
        <v>0</v>
      </c>
      <c r="AT8">
        <v>0</v>
      </c>
      <c r="AU8" t="s">
        <v>38</v>
      </c>
      <c r="AV8" t="s">
        <v>40</v>
      </c>
      <c r="AW8">
        <v>3</v>
      </c>
      <c r="AX8">
        <v>2</v>
      </c>
      <c r="AY8" t="s">
        <v>48</v>
      </c>
      <c r="AZ8" t="s">
        <v>49</v>
      </c>
      <c r="BA8">
        <v>0</v>
      </c>
      <c r="BB8">
        <v>1</v>
      </c>
      <c r="BC8" t="s">
        <v>51</v>
      </c>
      <c r="BD8" t="s">
        <v>52</v>
      </c>
      <c r="BE8">
        <v>3</v>
      </c>
      <c r="BF8">
        <v>0</v>
      </c>
      <c r="BG8" t="s">
        <v>48</v>
      </c>
      <c r="BH8" t="s">
        <v>51</v>
      </c>
      <c r="BI8">
        <v>1</v>
      </c>
      <c r="BJ8">
        <v>1</v>
      </c>
      <c r="BK8" t="s">
        <v>52</v>
      </c>
      <c r="BL8" t="s">
        <v>49</v>
      </c>
      <c r="BM8">
        <v>2</v>
      </c>
      <c r="BN8">
        <v>0</v>
      </c>
      <c r="BO8" t="s">
        <v>52</v>
      </c>
      <c r="BP8" t="s">
        <v>48</v>
      </c>
      <c r="BQ8">
        <v>0</v>
      </c>
      <c r="BR8">
        <v>2</v>
      </c>
      <c r="BS8" t="s">
        <v>49</v>
      </c>
      <c r="BT8" t="s">
        <v>51</v>
      </c>
      <c r="BU8">
        <v>1</v>
      </c>
      <c r="BV8">
        <v>0</v>
      </c>
      <c r="BW8" t="s">
        <v>59</v>
      </c>
      <c r="BX8" t="s">
        <v>60</v>
      </c>
      <c r="BY8">
        <v>2</v>
      </c>
      <c r="BZ8">
        <v>0</v>
      </c>
      <c r="CA8" t="s">
        <v>62</v>
      </c>
      <c r="CB8" t="s">
        <v>63</v>
      </c>
      <c r="CC8">
        <v>0</v>
      </c>
      <c r="CD8">
        <v>2</v>
      </c>
      <c r="CE8" t="s">
        <v>59</v>
      </c>
      <c r="CF8" t="s">
        <v>62</v>
      </c>
      <c r="CG8">
        <v>1</v>
      </c>
      <c r="CH8">
        <v>1</v>
      </c>
      <c r="CI8" t="s">
        <v>63</v>
      </c>
      <c r="CJ8" t="s">
        <v>60</v>
      </c>
      <c r="CK8">
        <v>0</v>
      </c>
      <c r="CL8">
        <v>2</v>
      </c>
      <c r="CM8" t="s">
        <v>63</v>
      </c>
      <c r="CN8" t="s">
        <v>59</v>
      </c>
      <c r="CO8">
        <v>0</v>
      </c>
      <c r="CP8">
        <v>2</v>
      </c>
      <c r="CQ8" t="s">
        <v>60</v>
      </c>
      <c r="CR8" t="s">
        <v>62</v>
      </c>
      <c r="CS8">
        <v>1</v>
      </c>
      <c r="CT8">
        <v>0</v>
      </c>
      <c r="CU8" t="s">
        <v>70</v>
      </c>
      <c r="CV8" t="s">
        <v>71</v>
      </c>
      <c r="CW8">
        <v>2</v>
      </c>
      <c r="CX8">
        <v>1</v>
      </c>
      <c r="CY8" t="s">
        <v>73</v>
      </c>
      <c r="CZ8" t="s">
        <v>74</v>
      </c>
      <c r="DA8">
        <v>3</v>
      </c>
      <c r="DB8">
        <v>1</v>
      </c>
      <c r="DC8" t="s">
        <v>70</v>
      </c>
      <c r="DD8" t="s">
        <v>73</v>
      </c>
      <c r="DE8">
        <v>0</v>
      </c>
      <c r="DF8">
        <v>0</v>
      </c>
      <c r="DG8" t="s">
        <v>74</v>
      </c>
      <c r="DH8" t="s">
        <v>71</v>
      </c>
      <c r="DI8">
        <v>1</v>
      </c>
      <c r="DJ8">
        <v>0</v>
      </c>
      <c r="DK8" t="s">
        <v>74</v>
      </c>
      <c r="DL8" t="s">
        <v>70</v>
      </c>
      <c r="DM8">
        <v>0</v>
      </c>
      <c r="DN8">
        <v>1</v>
      </c>
      <c r="DO8" t="s">
        <v>71</v>
      </c>
      <c r="DP8" t="s">
        <v>73</v>
      </c>
      <c r="DQ8">
        <v>2</v>
      </c>
      <c r="DR8">
        <v>1</v>
      </c>
      <c r="DS8" t="s">
        <v>81</v>
      </c>
      <c r="DT8" t="s">
        <v>82</v>
      </c>
      <c r="DU8">
        <v>3</v>
      </c>
      <c r="DV8">
        <v>0</v>
      </c>
      <c r="DW8" t="s">
        <v>84</v>
      </c>
      <c r="DX8" t="s">
        <v>85</v>
      </c>
      <c r="DY8">
        <v>1</v>
      </c>
      <c r="DZ8">
        <v>1</v>
      </c>
      <c r="EA8" t="s">
        <v>81</v>
      </c>
      <c r="EB8" t="s">
        <v>84</v>
      </c>
      <c r="EC8">
        <v>1</v>
      </c>
      <c r="ED8">
        <v>2</v>
      </c>
      <c r="EE8" t="s">
        <v>85</v>
      </c>
      <c r="EF8" t="s">
        <v>82</v>
      </c>
      <c r="EG8">
        <v>1</v>
      </c>
      <c r="EH8">
        <v>1</v>
      </c>
      <c r="EI8" t="s">
        <v>85</v>
      </c>
      <c r="EJ8" t="s">
        <v>81</v>
      </c>
      <c r="EK8">
        <v>1</v>
      </c>
      <c r="EL8">
        <v>0</v>
      </c>
      <c r="EM8" t="s">
        <v>82</v>
      </c>
      <c r="EN8" t="s">
        <v>84</v>
      </c>
      <c r="EO8">
        <v>2</v>
      </c>
      <c r="EP8">
        <v>0</v>
      </c>
      <c r="EQ8" t="s">
        <v>92</v>
      </c>
      <c r="ER8" t="s">
        <v>93</v>
      </c>
      <c r="ES8">
        <v>1</v>
      </c>
      <c r="ET8">
        <v>2</v>
      </c>
      <c r="EU8" t="s">
        <v>95</v>
      </c>
      <c r="EV8" t="s">
        <v>96</v>
      </c>
      <c r="EW8">
        <v>3</v>
      </c>
      <c r="EX8">
        <v>2</v>
      </c>
      <c r="EY8" t="s">
        <v>92</v>
      </c>
      <c r="EZ8" t="s">
        <v>95</v>
      </c>
      <c r="FA8">
        <v>3</v>
      </c>
      <c r="FB8">
        <v>2</v>
      </c>
      <c r="FC8" t="s">
        <v>96</v>
      </c>
      <c r="FD8" t="s">
        <v>93</v>
      </c>
      <c r="FE8">
        <v>2</v>
      </c>
      <c r="FF8">
        <v>1</v>
      </c>
      <c r="FG8" t="s">
        <v>96</v>
      </c>
      <c r="FH8" t="s">
        <v>92</v>
      </c>
      <c r="FI8">
        <v>2</v>
      </c>
      <c r="FJ8">
        <v>0</v>
      </c>
      <c r="FK8" t="s">
        <v>93</v>
      </c>
      <c r="FL8" t="s">
        <v>95</v>
      </c>
      <c r="FM8">
        <v>1</v>
      </c>
      <c r="FN8">
        <v>1</v>
      </c>
      <c r="FO8" t="s">
        <v>103</v>
      </c>
      <c r="FP8" t="s">
        <v>104</v>
      </c>
      <c r="FQ8">
        <v>0</v>
      </c>
      <c r="FR8">
        <v>1</v>
      </c>
      <c r="FS8" t="s">
        <v>106</v>
      </c>
      <c r="FT8" t="s">
        <v>107</v>
      </c>
      <c r="FU8">
        <v>2</v>
      </c>
      <c r="FV8">
        <v>2</v>
      </c>
      <c r="FW8" t="s">
        <v>103</v>
      </c>
      <c r="FX8" t="s">
        <v>106</v>
      </c>
      <c r="FY8">
        <v>1</v>
      </c>
      <c r="FZ8">
        <v>2</v>
      </c>
      <c r="GA8" t="s">
        <v>107</v>
      </c>
      <c r="GB8" t="s">
        <v>104</v>
      </c>
      <c r="GC8">
        <v>0</v>
      </c>
      <c r="GD8">
        <v>1</v>
      </c>
      <c r="GE8" t="s">
        <v>107</v>
      </c>
      <c r="GF8" t="s">
        <v>103</v>
      </c>
      <c r="GG8">
        <v>2</v>
      </c>
      <c r="GH8">
        <v>1</v>
      </c>
      <c r="GI8" t="s">
        <v>104</v>
      </c>
      <c r="GJ8" t="s">
        <v>106</v>
      </c>
      <c r="GK8">
        <v>0</v>
      </c>
      <c r="GL8">
        <v>2</v>
      </c>
      <c r="GM8" t="s">
        <v>114</v>
      </c>
      <c r="GN8" t="s">
        <v>115</v>
      </c>
      <c r="GO8">
        <v>1</v>
      </c>
      <c r="GP8">
        <v>2</v>
      </c>
      <c r="GQ8" t="s">
        <v>117</v>
      </c>
      <c r="GR8" t="s">
        <v>118</v>
      </c>
      <c r="GS8">
        <v>2</v>
      </c>
      <c r="GT8">
        <v>1</v>
      </c>
      <c r="GU8" t="s">
        <v>114</v>
      </c>
      <c r="GV8" t="s">
        <v>117</v>
      </c>
      <c r="GW8">
        <v>0</v>
      </c>
      <c r="GX8">
        <v>2</v>
      </c>
      <c r="GY8" t="s">
        <v>118</v>
      </c>
      <c r="GZ8" t="s">
        <v>115</v>
      </c>
      <c r="HA8">
        <v>3</v>
      </c>
      <c r="HB8">
        <v>0</v>
      </c>
      <c r="HC8" t="s">
        <v>118</v>
      </c>
      <c r="HD8" t="s">
        <v>114</v>
      </c>
      <c r="HE8">
        <v>0</v>
      </c>
      <c r="HF8">
        <v>0</v>
      </c>
      <c r="HG8" t="s">
        <v>115</v>
      </c>
      <c r="HH8" t="s">
        <v>117</v>
      </c>
      <c r="HI8">
        <v>2</v>
      </c>
      <c r="HJ8">
        <v>2</v>
      </c>
      <c r="HK8" t="s">
        <v>125</v>
      </c>
      <c r="HL8" t="s">
        <v>126</v>
      </c>
      <c r="HM8">
        <v>2</v>
      </c>
      <c r="HN8">
        <v>2</v>
      </c>
      <c r="HO8" t="s">
        <v>128</v>
      </c>
      <c r="HP8" t="s">
        <v>129</v>
      </c>
      <c r="HQ8">
        <v>0</v>
      </c>
      <c r="HR8">
        <v>2</v>
      </c>
      <c r="HS8" t="s">
        <v>125</v>
      </c>
      <c r="HT8" t="s">
        <v>128</v>
      </c>
      <c r="HU8">
        <v>0</v>
      </c>
      <c r="HV8">
        <v>0</v>
      </c>
      <c r="HW8" t="s">
        <v>129</v>
      </c>
      <c r="HX8" t="s">
        <v>126</v>
      </c>
      <c r="HY8">
        <v>0</v>
      </c>
      <c r="HZ8">
        <v>0</v>
      </c>
      <c r="IA8" t="s">
        <v>129</v>
      </c>
      <c r="IB8" t="s">
        <v>125</v>
      </c>
      <c r="IC8">
        <v>2</v>
      </c>
      <c r="ID8">
        <v>2</v>
      </c>
      <c r="IE8" t="s">
        <v>126</v>
      </c>
      <c r="IF8" t="s">
        <v>128</v>
      </c>
      <c r="IG8">
        <v>3</v>
      </c>
      <c r="IH8">
        <v>0</v>
      </c>
      <c r="II8" t="s">
        <v>136</v>
      </c>
      <c r="IJ8" t="s">
        <v>137</v>
      </c>
      <c r="IK8">
        <v>1</v>
      </c>
      <c r="IL8">
        <v>0</v>
      </c>
      <c r="IM8" t="s">
        <v>139</v>
      </c>
      <c r="IN8" t="s">
        <v>140</v>
      </c>
      <c r="IO8">
        <v>1</v>
      </c>
      <c r="IP8">
        <v>1</v>
      </c>
      <c r="IQ8" t="s">
        <v>136</v>
      </c>
      <c r="IR8" t="s">
        <v>139</v>
      </c>
      <c r="IS8">
        <v>0</v>
      </c>
      <c r="IT8">
        <v>1</v>
      </c>
      <c r="IU8" t="s">
        <v>140</v>
      </c>
      <c r="IV8" t="s">
        <v>137</v>
      </c>
      <c r="IW8">
        <v>0</v>
      </c>
      <c r="IX8">
        <v>0</v>
      </c>
      <c r="IY8" t="s">
        <v>140</v>
      </c>
      <c r="IZ8" t="s">
        <v>136</v>
      </c>
      <c r="JA8">
        <v>3</v>
      </c>
      <c r="JB8">
        <v>0</v>
      </c>
      <c r="JC8" t="s">
        <v>137</v>
      </c>
      <c r="JD8" t="s">
        <v>139</v>
      </c>
      <c r="JE8">
        <v>0</v>
      </c>
      <c r="JF8">
        <v>0</v>
      </c>
      <c r="JG8" t="s">
        <v>147</v>
      </c>
      <c r="JH8" t="s">
        <v>148</v>
      </c>
      <c r="JI8">
        <v>2</v>
      </c>
      <c r="JJ8">
        <v>0</v>
      </c>
      <c r="JK8" t="s">
        <v>150</v>
      </c>
      <c r="JL8" t="s">
        <v>151</v>
      </c>
      <c r="JM8">
        <v>1</v>
      </c>
      <c r="JN8">
        <v>0</v>
      </c>
      <c r="JO8" t="s">
        <v>147</v>
      </c>
      <c r="JP8" t="s">
        <v>150</v>
      </c>
      <c r="JQ8">
        <v>1</v>
      </c>
      <c r="JR8">
        <v>1</v>
      </c>
      <c r="JS8" t="s">
        <v>151</v>
      </c>
      <c r="JT8" t="s">
        <v>148</v>
      </c>
      <c r="JU8">
        <v>0</v>
      </c>
      <c r="JV8">
        <v>2</v>
      </c>
      <c r="JW8" t="s">
        <v>151</v>
      </c>
      <c r="JX8" t="s">
        <v>147</v>
      </c>
      <c r="JY8">
        <v>1</v>
      </c>
      <c r="JZ8">
        <v>2</v>
      </c>
      <c r="KA8" t="s">
        <v>148</v>
      </c>
      <c r="KB8" t="s">
        <v>150</v>
      </c>
      <c r="KC8">
        <v>1</v>
      </c>
      <c r="KD8">
        <v>2</v>
      </c>
      <c r="KE8">
        <f>IF(OR(ISBLANK(E8),ISBLANK(F8),ISBLANK('01_results_input'!F2),ISBLANK('01_results_input'!G2)),"",IF(AND(E8='01_results_input'!F2,F8='01_results_input'!G2),pts_group_toto+pts_group_exact_bonus,IF(OR(AND(E8&gt;F8,'01_results_input'!F2&gt;'01_results_input'!G2),AND(E8&lt;F8,'01_results_input'!F2&lt;'01_results_input'!G2),AND(E8=F8,'01_results_input'!F2='01_results_input'!G2)),pts_group_toto,0)))</f>
      </c>
      <c r="KF8">
        <f>IF(OR(ISBLANK(I8),ISBLANK(J8),ISBLANK('01_results_input'!F3),ISBLANK('01_results_input'!G3)),"",IF(AND(I8='01_results_input'!F3,J8='01_results_input'!G3),pts_group_toto+pts_group_exact_bonus,IF(OR(AND(I8&gt;J8,'01_results_input'!F3&gt;'01_results_input'!G3),AND(I8&lt;J8,'01_results_input'!F3&lt;'01_results_input'!G3),AND(I8=J8,'01_results_input'!F3='01_results_input'!G3)),pts_group_toto,0)))</f>
      </c>
      <c r="KG8">
        <f>IF(OR(ISBLANK(M8),ISBLANK(N8),ISBLANK('01_results_input'!F4),ISBLANK('01_results_input'!G4)),"",IF(AND(M8='01_results_input'!F4,N8='01_results_input'!G4),pts_group_toto+pts_group_exact_bonus,IF(OR(AND(M8&gt;N8,'01_results_input'!F4&gt;'01_results_input'!G4),AND(M8&lt;N8,'01_results_input'!F4&lt;'01_results_input'!G4),AND(M8=N8,'01_results_input'!F4='01_results_input'!G4)),pts_group_toto,0)))</f>
      </c>
      <c r="KH8">
        <f>IF(OR(ISBLANK(Q8),ISBLANK(R8),ISBLANK('01_results_input'!F5),ISBLANK('01_results_input'!G5)),"",IF(AND(Q8='01_results_input'!F5,R8='01_results_input'!G5),pts_group_toto+pts_group_exact_bonus,IF(OR(AND(Q8&gt;R8,'01_results_input'!F5&gt;'01_results_input'!G5),AND(Q8&lt;R8,'01_results_input'!F5&lt;'01_results_input'!G5),AND(Q8=R8,'01_results_input'!F5='01_results_input'!G5)),pts_group_toto,0)))</f>
      </c>
      <c r="KI8">
        <f>IF(OR(ISBLANK(U8),ISBLANK(V8),ISBLANK('01_results_input'!F6),ISBLANK('01_results_input'!G6)),"",IF(AND(U8='01_results_input'!F6,V8='01_results_input'!G6),pts_group_toto+pts_group_exact_bonus,IF(OR(AND(U8&gt;V8,'01_results_input'!F6&gt;'01_results_input'!G6),AND(U8&lt;V8,'01_results_input'!F6&lt;'01_results_input'!G6),AND(U8=V8,'01_results_input'!F6='01_results_input'!G6)),pts_group_toto,0)))</f>
      </c>
      <c r="KJ8">
        <f>IF(OR(ISBLANK(Y8),ISBLANK(Z8),ISBLANK('01_results_input'!F7),ISBLANK('01_results_input'!G7)),"",IF(AND(Y8='01_results_input'!F7,Z8='01_results_input'!G7),pts_group_toto+pts_group_exact_bonus,IF(OR(AND(Y8&gt;Z8,'01_results_input'!F7&gt;'01_results_input'!G7),AND(Y8&lt;Z8,'01_results_input'!F7&lt;'01_results_input'!G7),AND(Y8=Z8,'01_results_input'!F7='01_results_input'!G7)),pts_group_toto,0)))</f>
      </c>
      <c r="KK8">
        <f>IF(OR(ISBLANK(AC8),ISBLANK(AD8),ISBLANK('01_results_input'!F8),ISBLANK('01_results_input'!G8)),"",IF(AND(AC8='01_results_input'!F8,AD8='01_results_input'!G8),pts_group_toto+pts_group_exact_bonus,IF(OR(AND(AC8&gt;AD8,'01_results_input'!F8&gt;'01_results_input'!G8),AND(AC8&lt;AD8,'01_results_input'!F8&lt;'01_results_input'!G8),AND(AC8=AD8,'01_results_input'!F8='01_results_input'!G8)),pts_group_toto,0)))</f>
      </c>
      <c r="KL8">
        <f>IF(OR(ISBLANK(AG8),ISBLANK(AH8),ISBLANK('01_results_input'!F9),ISBLANK('01_results_input'!G9)),"",IF(AND(AG8='01_results_input'!F9,AH8='01_results_input'!G9),pts_group_toto+pts_group_exact_bonus,IF(OR(AND(AG8&gt;AH8,'01_results_input'!F9&gt;'01_results_input'!G9),AND(AG8&lt;AH8,'01_results_input'!F9&lt;'01_results_input'!G9),AND(AG8=AH8,'01_results_input'!F9='01_results_input'!G9)),pts_group_toto,0)))</f>
      </c>
      <c r="KM8">
        <f>IF(OR(ISBLANK(AK8),ISBLANK(AL8),ISBLANK('01_results_input'!F10),ISBLANK('01_results_input'!G10)),"",IF(AND(AK8='01_results_input'!F10,AL8='01_results_input'!G10),pts_group_toto+pts_group_exact_bonus,IF(OR(AND(AK8&gt;AL8,'01_results_input'!F10&gt;'01_results_input'!G10),AND(AK8&lt;AL8,'01_results_input'!F10&lt;'01_results_input'!G10),AND(AK8=AL8,'01_results_input'!F10='01_results_input'!G10)),pts_group_toto,0)))</f>
      </c>
      <c r="KN8">
        <f>IF(OR(ISBLANK(AO8),ISBLANK(AP8),ISBLANK('01_results_input'!F11),ISBLANK('01_results_input'!G11)),"",IF(AND(AO8='01_results_input'!F11,AP8='01_results_input'!G11),pts_group_toto+pts_group_exact_bonus,IF(OR(AND(AO8&gt;AP8,'01_results_input'!F11&gt;'01_results_input'!G11),AND(AO8&lt;AP8,'01_results_input'!F11&lt;'01_results_input'!G11),AND(AO8=AP8,'01_results_input'!F11='01_results_input'!G11)),pts_group_toto,0)))</f>
      </c>
      <c r="KO8">
        <f>IF(OR(ISBLANK(AS8),ISBLANK(AT8),ISBLANK('01_results_input'!F12),ISBLANK('01_results_input'!G12)),"",IF(AND(AS8='01_results_input'!F12,AT8='01_results_input'!G12),pts_group_toto+pts_group_exact_bonus,IF(OR(AND(AS8&gt;AT8,'01_results_input'!F12&gt;'01_results_input'!G12),AND(AS8&lt;AT8,'01_results_input'!F12&lt;'01_results_input'!G12),AND(AS8=AT8,'01_results_input'!F12='01_results_input'!G12)),pts_group_toto,0)))</f>
      </c>
      <c r="KP8">
        <f>IF(OR(ISBLANK(AW8),ISBLANK(AX8),ISBLANK('01_results_input'!F13),ISBLANK('01_results_input'!G13)),"",IF(AND(AW8='01_results_input'!F13,AX8='01_results_input'!G13),pts_group_toto+pts_group_exact_bonus,IF(OR(AND(AW8&gt;AX8,'01_results_input'!F13&gt;'01_results_input'!G13),AND(AW8&lt;AX8,'01_results_input'!F13&lt;'01_results_input'!G13),AND(AW8=AX8,'01_results_input'!F13='01_results_input'!G13)),pts_group_toto,0)))</f>
      </c>
      <c r="KQ8">
        <f>IF(OR(ISBLANK(BA8),ISBLANK(BB8),ISBLANK('01_results_input'!F14),ISBLANK('01_results_input'!G14)),"",IF(AND(BA8='01_results_input'!F14,BB8='01_results_input'!G14),pts_group_toto+pts_group_exact_bonus,IF(OR(AND(BA8&gt;BB8,'01_results_input'!F14&gt;'01_results_input'!G14),AND(BA8&lt;BB8,'01_results_input'!F14&lt;'01_results_input'!G14),AND(BA8=BB8,'01_results_input'!F14='01_results_input'!G14)),pts_group_toto,0)))</f>
      </c>
      <c r="KR8">
        <f>IF(OR(ISBLANK(BE8),ISBLANK(BF8),ISBLANK('01_results_input'!F15),ISBLANK('01_results_input'!G15)),"",IF(AND(BE8='01_results_input'!F15,BF8='01_results_input'!G15),pts_group_toto+pts_group_exact_bonus,IF(OR(AND(BE8&gt;BF8,'01_results_input'!F15&gt;'01_results_input'!G15),AND(BE8&lt;BF8,'01_results_input'!F15&lt;'01_results_input'!G15),AND(BE8=BF8,'01_results_input'!F15='01_results_input'!G15)),pts_group_toto,0)))</f>
      </c>
      <c r="KS8">
        <f>IF(OR(ISBLANK(BI8),ISBLANK(BJ8),ISBLANK('01_results_input'!F16),ISBLANK('01_results_input'!G16)),"",IF(AND(BI8='01_results_input'!F16,BJ8='01_results_input'!G16),pts_group_toto+pts_group_exact_bonus,IF(OR(AND(BI8&gt;BJ8,'01_results_input'!F16&gt;'01_results_input'!G16),AND(BI8&lt;BJ8,'01_results_input'!F16&lt;'01_results_input'!G16),AND(BI8=BJ8,'01_results_input'!F16='01_results_input'!G16)),pts_group_toto,0)))</f>
      </c>
      <c r="KT8">
        <f>IF(OR(ISBLANK(BM8),ISBLANK(BN8),ISBLANK('01_results_input'!F17),ISBLANK('01_results_input'!G17)),"",IF(AND(BM8='01_results_input'!F17,BN8='01_results_input'!G17),pts_group_toto+pts_group_exact_bonus,IF(OR(AND(BM8&gt;BN8,'01_results_input'!F17&gt;'01_results_input'!G17),AND(BM8&lt;BN8,'01_results_input'!F17&lt;'01_results_input'!G17),AND(BM8=BN8,'01_results_input'!F17='01_results_input'!G17)),pts_group_toto,0)))</f>
      </c>
      <c r="KU8">
        <f>IF(OR(ISBLANK(BQ8),ISBLANK(BR8),ISBLANK('01_results_input'!F18),ISBLANK('01_results_input'!G18)),"",IF(AND(BQ8='01_results_input'!F18,BR8='01_results_input'!G18),pts_group_toto+pts_group_exact_bonus,IF(OR(AND(BQ8&gt;BR8,'01_results_input'!F18&gt;'01_results_input'!G18),AND(BQ8&lt;BR8,'01_results_input'!F18&lt;'01_results_input'!G18),AND(BQ8=BR8,'01_results_input'!F18='01_results_input'!G18)),pts_group_toto,0)))</f>
      </c>
      <c r="KV8">
        <f>IF(OR(ISBLANK(BU8),ISBLANK(BV8),ISBLANK('01_results_input'!F19),ISBLANK('01_results_input'!G19)),"",IF(AND(BU8='01_results_input'!F19,BV8='01_results_input'!G19),pts_group_toto+pts_group_exact_bonus,IF(OR(AND(BU8&gt;BV8,'01_results_input'!F19&gt;'01_results_input'!G19),AND(BU8&lt;BV8,'01_results_input'!F19&lt;'01_results_input'!G19),AND(BU8=BV8,'01_results_input'!F19='01_results_input'!G19)),pts_group_toto,0)))</f>
      </c>
      <c r="KW8">
        <f>IF(OR(ISBLANK(BY8),ISBLANK(BZ8),ISBLANK('01_results_input'!F20),ISBLANK('01_results_input'!G20)),"",IF(AND(BY8='01_results_input'!F20,BZ8='01_results_input'!G20),pts_group_toto+pts_group_exact_bonus,IF(OR(AND(BY8&gt;BZ8,'01_results_input'!F20&gt;'01_results_input'!G20),AND(BY8&lt;BZ8,'01_results_input'!F20&lt;'01_results_input'!G20),AND(BY8=BZ8,'01_results_input'!F20='01_results_input'!G20)),pts_group_toto,0)))</f>
      </c>
      <c r="KX8">
        <f>IF(OR(ISBLANK(CC8),ISBLANK(CD8),ISBLANK('01_results_input'!F21),ISBLANK('01_results_input'!G21)),"",IF(AND(CC8='01_results_input'!F21,CD8='01_results_input'!G21),pts_group_toto+pts_group_exact_bonus,IF(OR(AND(CC8&gt;CD8,'01_results_input'!F21&gt;'01_results_input'!G21),AND(CC8&lt;CD8,'01_results_input'!F21&lt;'01_results_input'!G21),AND(CC8=CD8,'01_results_input'!F21='01_results_input'!G21)),pts_group_toto,0)))</f>
      </c>
      <c r="KY8">
        <f>IF(OR(ISBLANK(CG8),ISBLANK(CH8),ISBLANK('01_results_input'!F22),ISBLANK('01_results_input'!G22)),"",IF(AND(CG8='01_results_input'!F22,CH8='01_results_input'!G22),pts_group_toto+pts_group_exact_bonus,IF(OR(AND(CG8&gt;CH8,'01_results_input'!F22&gt;'01_results_input'!G22),AND(CG8&lt;CH8,'01_results_input'!F22&lt;'01_results_input'!G22),AND(CG8=CH8,'01_results_input'!F22='01_results_input'!G22)),pts_group_toto,0)))</f>
      </c>
      <c r="KZ8">
        <f>IF(OR(ISBLANK(CK8),ISBLANK(CL8),ISBLANK('01_results_input'!F23),ISBLANK('01_results_input'!G23)),"",IF(AND(CK8='01_results_input'!F23,CL8='01_results_input'!G23),pts_group_toto+pts_group_exact_bonus,IF(OR(AND(CK8&gt;CL8,'01_results_input'!F23&gt;'01_results_input'!G23),AND(CK8&lt;CL8,'01_results_input'!F23&lt;'01_results_input'!G23),AND(CK8=CL8,'01_results_input'!F23='01_results_input'!G23)),pts_group_toto,0)))</f>
      </c>
      <c r="LA8">
        <f>IF(OR(ISBLANK(CO8),ISBLANK(CP8),ISBLANK('01_results_input'!F24),ISBLANK('01_results_input'!G24)),"",IF(AND(CO8='01_results_input'!F24,CP8='01_results_input'!G24),pts_group_toto+pts_group_exact_bonus,IF(OR(AND(CO8&gt;CP8,'01_results_input'!F24&gt;'01_results_input'!G24),AND(CO8&lt;CP8,'01_results_input'!F24&lt;'01_results_input'!G24),AND(CO8=CP8,'01_results_input'!F24='01_results_input'!G24)),pts_group_toto,0)))</f>
      </c>
      <c r="LB8">
        <f>IF(OR(ISBLANK(CS8),ISBLANK(CT8),ISBLANK('01_results_input'!F25),ISBLANK('01_results_input'!G25)),"",IF(AND(CS8='01_results_input'!F25,CT8='01_results_input'!G25),pts_group_toto+pts_group_exact_bonus,IF(OR(AND(CS8&gt;CT8,'01_results_input'!F25&gt;'01_results_input'!G25),AND(CS8&lt;CT8,'01_results_input'!F25&lt;'01_results_input'!G25),AND(CS8=CT8,'01_results_input'!F25='01_results_input'!G25)),pts_group_toto,0)))</f>
      </c>
      <c r="LC8">
        <f>IF(OR(ISBLANK(CW8),ISBLANK(CX8),ISBLANK('01_results_input'!F26),ISBLANK('01_results_input'!G26)),"",IF(AND(CW8='01_results_input'!F26,CX8='01_results_input'!G26),pts_group_toto+pts_group_exact_bonus,IF(OR(AND(CW8&gt;CX8,'01_results_input'!F26&gt;'01_results_input'!G26),AND(CW8&lt;CX8,'01_results_input'!F26&lt;'01_results_input'!G26),AND(CW8=CX8,'01_results_input'!F26='01_results_input'!G26)),pts_group_toto,0)))</f>
      </c>
      <c r="LD8">
        <f>IF(OR(ISBLANK(DA8),ISBLANK(DB8),ISBLANK('01_results_input'!F27),ISBLANK('01_results_input'!G27)),"",IF(AND(DA8='01_results_input'!F27,DB8='01_results_input'!G27),pts_group_toto+pts_group_exact_bonus,IF(OR(AND(DA8&gt;DB8,'01_results_input'!F27&gt;'01_results_input'!G27),AND(DA8&lt;DB8,'01_results_input'!F27&lt;'01_results_input'!G27),AND(DA8=DB8,'01_results_input'!F27='01_results_input'!G27)),pts_group_toto,0)))</f>
      </c>
      <c r="LE8">
        <f>IF(OR(ISBLANK(DE8),ISBLANK(DF8),ISBLANK('01_results_input'!F28),ISBLANK('01_results_input'!G28)),"",IF(AND(DE8='01_results_input'!F28,DF8='01_results_input'!G28),pts_group_toto+pts_group_exact_bonus,IF(OR(AND(DE8&gt;DF8,'01_results_input'!F28&gt;'01_results_input'!G28),AND(DE8&lt;DF8,'01_results_input'!F28&lt;'01_results_input'!G28),AND(DE8=DF8,'01_results_input'!F28='01_results_input'!G28)),pts_group_toto,0)))</f>
      </c>
      <c r="LF8">
        <f>IF(OR(ISBLANK(DI8),ISBLANK(DJ8),ISBLANK('01_results_input'!F29),ISBLANK('01_results_input'!G29)),"",IF(AND(DI8='01_results_input'!F29,DJ8='01_results_input'!G29),pts_group_toto+pts_group_exact_bonus,IF(OR(AND(DI8&gt;DJ8,'01_results_input'!F29&gt;'01_results_input'!G29),AND(DI8&lt;DJ8,'01_results_input'!F29&lt;'01_results_input'!G29),AND(DI8=DJ8,'01_results_input'!F29='01_results_input'!G29)),pts_group_toto,0)))</f>
      </c>
      <c r="LG8">
        <f>IF(OR(ISBLANK(DM8),ISBLANK(DN8),ISBLANK('01_results_input'!F30),ISBLANK('01_results_input'!G30)),"",IF(AND(DM8='01_results_input'!F30,DN8='01_results_input'!G30),pts_group_toto+pts_group_exact_bonus,IF(OR(AND(DM8&gt;DN8,'01_results_input'!F30&gt;'01_results_input'!G30),AND(DM8&lt;DN8,'01_results_input'!F30&lt;'01_results_input'!G30),AND(DM8=DN8,'01_results_input'!F30='01_results_input'!G30)),pts_group_toto,0)))</f>
      </c>
      <c r="LH8">
        <f>IF(OR(ISBLANK(DQ8),ISBLANK(DR8),ISBLANK('01_results_input'!F31),ISBLANK('01_results_input'!G31)),"",IF(AND(DQ8='01_results_input'!F31,DR8='01_results_input'!G31),pts_group_toto+pts_group_exact_bonus,IF(OR(AND(DQ8&gt;DR8,'01_results_input'!F31&gt;'01_results_input'!G31),AND(DQ8&lt;DR8,'01_results_input'!F31&lt;'01_results_input'!G31),AND(DQ8=DR8,'01_results_input'!F31='01_results_input'!G31)),pts_group_toto,0)))</f>
      </c>
      <c r="LI8">
        <f>IF(OR(ISBLANK(DU8),ISBLANK(DV8),ISBLANK('01_results_input'!F32),ISBLANK('01_results_input'!G32)),"",IF(AND(DU8='01_results_input'!F32,DV8='01_results_input'!G32),pts_group_toto+pts_group_exact_bonus,IF(OR(AND(DU8&gt;DV8,'01_results_input'!F32&gt;'01_results_input'!G32),AND(DU8&lt;DV8,'01_results_input'!F32&lt;'01_results_input'!G32),AND(DU8=DV8,'01_results_input'!F32='01_results_input'!G32)),pts_group_toto,0)))</f>
      </c>
      <c r="LJ8">
        <f>IF(OR(ISBLANK(DY8),ISBLANK(DZ8),ISBLANK('01_results_input'!F33),ISBLANK('01_results_input'!G33)),"",IF(AND(DY8='01_results_input'!F33,DZ8='01_results_input'!G33),pts_group_toto+pts_group_exact_bonus,IF(OR(AND(DY8&gt;DZ8,'01_results_input'!F33&gt;'01_results_input'!G33),AND(DY8&lt;DZ8,'01_results_input'!F33&lt;'01_results_input'!G33),AND(DY8=DZ8,'01_results_input'!F33='01_results_input'!G33)),pts_group_toto,0)))</f>
      </c>
      <c r="LK8">
        <f>IF(OR(ISBLANK(EC8),ISBLANK(ED8),ISBLANK('01_results_input'!F34),ISBLANK('01_results_input'!G34)),"",IF(AND(EC8='01_results_input'!F34,ED8='01_results_input'!G34),pts_group_toto+pts_group_exact_bonus,IF(OR(AND(EC8&gt;ED8,'01_results_input'!F34&gt;'01_results_input'!G34),AND(EC8&lt;ED8,'01_results_input'!F34&lt;'01_results_input'!G34),AND(EC8=ED8,'01_results_input'!F34='01_results_input'!G34)),pts_group_toto,0)))</f>
      </c>
      <c r="LL8">
        <f>IF(OR(ISBLANK(EG8),ISBLANK(EH8),ISBLANK('01_results_input'!F35),ISBLANK('01_results_input'!G35)),"",IF(AND(EG8='01_results_input'!F35,EH8='01_results_input'!G35),pts_group_toto+pts_group_exact_bonus,IF(OR(AND(EG8&gt;EH8,'01_results_input'!F35&gt;'01_results_input'!G35),AND(EG8&lt;EH8,'01_results_input'!F35&lt;'01_results_input'!G35),AND(EG8=EH8,'01_results_input'!F35='01_results_input'!G35)),pts_group_toto,0)))</f>
      </c>
      <c r="LM8">
        <f>IF(OR(ISBLANK(EK8),ISBLANK(EL8),ISBLANK('01_results_input'!F36),ISBLANK('01_results_input'!G36)),"",IF(AND(EK8='01_results_input'!F36,EL8='01_results_input'!G36),pts_group_toto+pts_group_exact_bonus,IF(OR(AND(EK8&gt;EL8,'01_results_input'!F36&gt;'01_results_input'!G36),AND(EK8&lt;EL8,'01_results_input'!F36&lt;'01_results_input'!G36),AND(EK8=EL8,'01_results_input'!F36='01_results_input'!G36)),pts_group_toto,0)))</f>
      </c>
      <c r="LN8">
        <f>IF(OR(ISBLANK(EO8),ISBLANK(EP8),ISBLANK('01_results_input'!F37),ISBLANK('01_results_input'!G37)),"",IF(AND(EO8='01_results_input'!F37,EP8='01_results_input'!G37),pts_group_toto+pts_group_exact_bonus,IF(OR(AND(EO8&gt;EP8,'01_results_input'!F37&gt;'01_results_input'!G37),AND(EO8&lt;EP8,'01_results_input'!F37&lt;'01_results_input'!G37),AND(EO8=EP8,'01_results_input'!F37='01_results_input'!G37)),pts_group_toto,0)))</f>
      </c>
      <c r="LO8">
        <f>IF(OR(ISBLANK(ES8),ISBLANK(ET8),ISBLANK('01_results_input'!F38),ISBLANK('01_results_input'!G38)),"",IF(AND(ES8='01_results_input'!F38,ET8='01_results_input'!G38),pts_group_toto+pts_group_exact_bonus,IF(OR(AND(ES8&gt;ET8,'01_results_input'!F38&gt;'01_results_input'!G38),AND(ES8&lt;ET8,'01_results_input'!F38&lt;'01_results_input'!G38),AND(ES8=ET8,'01_results_input'!F38='01_results_input'!G38)),pts_group_toto,0)))</f>
      </c>
      <c r="LP8">
        <f>IF(OR(ISBLANK(EW8),ISBLANK(EX8),ISBLANK('01_results_input'!F39),ISBLANK('01_results_input'!G39)),"",IF(AND(EW8='01_results_input'!F39,EX8='01_results_input'!G39),pts_group_toto+pts_group_exact_bonus,IF(OR(AND(EW8&gt;EX8,'01_results_input'!F39&gt;'01_results_input'!G39),AND(EW8&lt;EX8,'01_results_input'!F39&lt;'01_results_input'!G39),AND(EW8=EX8,'01_results_input'!F39='01_results_input'!G39)),pts_group_toto,0)))</f>
      </c>
      <c r="LQ8">
        <f>IF(OR(ISBLANK(FA8),ISBLANK(FB8),ISBLANK('01_results_input'!F40),ISBLANK('01_results_input'!G40)),"",IF(AND(FA8='01_results_input'!F40,FB8='01_results_input'!G40),pts_group_toto+pts_group_exact_bonus,IF(OR(AND(FA8&gt;FB8,'01_results_input'!F40&gt;'01_results_input'!G40),AND(FA8&lt;FB8,'01_results_input'!F40&lt;'01_results_input'!G40),AND(FA8=FB8,'01_results_input'!F40='01_results_input'!G40)),pts_group_toto,0)))</f>
      </c>
      <c r="LR8">
        <f>IF(OR(ISBLANK(FE8),ISBLANK(FF8),ISBLANK('01_results_input'!F41),ISBLANK('01_results_input'!G41)),"",IF(AND(FE8='01_results_input'!F41,FF8='01_results_input'!G41),pts_group_toto+pts_group_exact_bonus,IF(OR(AND(FE8&gt;FF8,'01_results_input'!F41&gt;'01_results_input'!G41),AND(FE8&lt;FF8,'01_results_input'!F41&lt;'01_results_input'!G41),AND(FE8=FF8,'01_results_input'!F41='01_results_input'!G41)),pts_group_toto,0)))</f>
      </c>
      <c r="LS8">
        <f>IF(OR(ISBLANK(FI8),ISBLANK(FJ8),ISBLANK('01_results_input'!F42),ISBLANK('01_results_input'!G42)),"",IF(AND(FI8='01_results_input'!F42,FJ8='01_results_input'!G42),pts_group_toto+pts_group_exact_bonus,IF(OR(AND(FI8&gt;FJ8,'01_results_input'!F42&gt;'01_results_input'!G42),AND(FI8&lt;FJ8,'01_results_input'!F42&lt;'01_results_input'!G42),AND(FI8=FJ8,'01_results_input'!F42='01_results_input'!G42)),pts_group_toto,0)))</f>
      </c>
      <c r="LT8">
        <f>IF(OR(ISBLANK(FM8),ISBLANK(FN8),ISBLANK('01_results_input'!F43),ISBLANK('01_results_input'!G43)),"",IF(AND(FM8='01_results_input'!F43,FN8='01_results_input'!G43),pts_group_toto+pts_group_exact_bonus,IF(OR(AND(FM8&gt;FN8,'01_results_input'!F43&gt;'01_results_input'!G43),AND(FM8&lt;FN8,'01_results_input'!F43&lt;'01_results_input'!G43),AND(FM8=FN8,'01_results_input'!F43='01_results_input'!G43)),pts_group_toto,0)))</f>
      </c>
      <c r="LU8">
        <f>IF(OR(ISBLANK(FQ8),ISBLANK(FR8),ISBLANK('01_results_input'!F44),ISBLANK('01_results_input'!G44)),"",IF(AND(FQ8='01_results_input'!F44,FR8='01_results_input'!G44),pts_group_toto+pts_group_exact_bonus,IF(OR(AND(FQ8&gt;FR8,'01_results_input'!F44&gt;'01_results_input'!G44),AND(FQ8&lt;FR8,'01_results_input'!F44&lt;'01_results_input'!G44),AND(FQ8=FR8,'01_results_input'!F44='01_results_input'!G44)),pts_group_toto,0)))</f>
      </c>
      <c r="LV8">
        <f>IF(OR(ISBLANK(FU8),ISBLANK(FV8),ISBLANK('01_results_input'!F45),ISBLANK('01_results_input'!G45)),"",IF(AND(FU8='01_results_input'!F45,FV8='01_results_input'!G45),pts_group_toto+pts_group_exact_bonus,IF(OR(AND(FU8&gt;FV8,'01_results_input'!F45&gt;'01_results_input'!G45),AND(FU8&lt;FV8,'01_results_input'!F45&lt;'01_results_input'!G45),AND(FU8=FV8,'01_results_input'!F45='01_results_input'!G45)),pts_group_toto,0)))</f>
      </c>
      <c r="LW8">
        <f>IF(OR(ISBLANK(FY8),ISBLANK(FZ8),ISBLANK('01_results_input'!F46),ISBLANK('01_results_input'!G46)),"",IF(AND(FY8='01_results_input'!F46,FZ8='01_results_input'!G46),pts_group_toto+pts_group_exact_bonus,IF(OR(AND(FY8&gt;FZ8,'01_results_input'!F46&gt;'01_results_input'!G46),AND(FY8&lt;FZ8,'01_results_input'!F46&lt;'01_results_input'!G46),AND(FY8=FZ8,'01_results_input'!F46='01_results_input'!G46)),pts_group_toto,0)))</f>
      </c>
      <c r="LX8">
        <f>IF(OR(ISBLANK(GC8),ISBLANK(GD8),ISBLANK('01_results_input'!F47),ISBLANK('01_results_input'!G47)),"",IF(AND(GC8='01_results_input'!F47,GD8='01_results_input'!G47),pts_group_toto+pts_group_exact_bonus,IF(OR(AND(GC8&gt;GD8,'01_results_input'!F47&gt;'01_results_input'!G47),AND(GC8&lt;GD8,'01_results_input'!F47&lt;'01_results_input'!G47),AND(GC8=GD8,'01_results_input'!F47='01_results_input'!G47)),pts_group_toto,0)))</f>
      </c>
      <c r="LY8">
        <f>IF(OR(ISBLANK(GG8),ISBLANK(GH8),ISBLANK('01_results_input'!F48),ISBLANK('01_results_input'!G48)),"",IF(AND(GG8='01_results_input'!F48,GH8='01_results_input'!G48),pts_group_toto+pts_group_exact_bonus,IF(OR(AND(GG8&gt;GH8,'01_results_input'!F48&gt;'01_results_input'!G48),AND(GG8&lt;GH8,'01_results_input'!F48&lt;'01_results_input'!G48),AND(GG8=GH8,'01_results_input'!F48='01_results_input'!G48)),pts_group_toto,0)))</f>
      </c>
      <c r="LZ8">
        <f>IF(OR(ISBLANK(GK8),ISBLANK(GL8),ISBLANK('01_results_input'!F49),ISBLANK('01_results_input'!G49)),"",IF(AND(GK8='01_results_input'!F49,GL8='01_results_input'!G49),pts_group_toto+pts_group_exact_bonus,IF(OR(AND(GK8&gt;GL8,'01_results_input'!F49&gt;'01_results_input'!G49),AND(GK8&lt;GL8,'01_results_input'!F49&lt;'01_results_input'!G49),AND(GK8=GL8,'01_results_input'!F49='01_results_input'!G49)),pts_group_toto,0)))</f>
      </c>
      <c r="MA8">
        <f>IF(OR(ISBLANK(GO8),ISBLANK(GP8),ISBLANK('01_results_input'!F50),ISBLANK('01_results_input'!G50)),"",IF(AND(GO8='01_results_input'!F50,GP8='01_results_input'!G50),pts_group_toto+pts_group_exact_bonus,IF(OR(AND(GO8&gt;GP8,'01_results_input'!F50&gt;'01_results_input'!G50),AND(GO8&lt;GP8,'01_results_input'!F50&lt;'01_results_input'!G50),AND(GO8=GP8,'01_results_input'!F50='01_results_input'!G50)),pts_group_toto,0)))</f>
      </c>
      <c r="MB8">
        <f>IF(OR(ISBLANK(GS8),ISBLANK(GT8),ISBLANK('01_results_input'!F51),ISBLANK('01_results_input'!G51)),"",IF(AND(GS8='01_results_input'!F51,GT8='01_results_input'!G51),pts_group_toto+pts_group_exact_bonus,IF(OR(AND(GS8&gt;GT8,'01_results_input'!F51&gt;'01_results_input'!G51),AND(GS8&lt;GT8,'01_results_input'!F51&lt;'01_results_input'!G51),AND(GS8=GT8,'01_results_input'!F51='01_results_input'!G51)),pts_group_toto,0)))</f>
      </c>
      <c r="MC8">
        <f>IF(OR(ISBLANK(GW8),ISBLANK(GX8),ISBLANK('01_results_input'!F52),ISBLANK('01_results_input'!G52)),"",IF(AND(GW8='01_results_input'!F52,GX8='01_results_input'!G52),pts_group_toto+pts_group_exact_bonus,IF(OR(AND(GW8&gt;GX8,'01_results_input'!F52&gt;'01_results_input'!G52),AND(GW8&lt;GX8,'01_results_input'!F52&lt;'01_results_input'!G52),AND(GW8=GX8,'01_results_input'!F52='01_results_input'!G52)),pts_group_toto,0)))</f>
      </c>
      <c r="MD8">
        <f>IF(OR(ISBLANK(HA8),ISBLANK(HB8),ISBLANK('01_results_input'!F53),ISBLANK('01_results_input'!G53)),"",IF(AND(HA8='01_results_input'!F53,HB8='01_results_input'!G53),pts_group_toto+pts_group_exact_bonus,IF(OR(AND(HA8&gt;HB8,'01_results_input'!F53&gt;'01_results_input'!G53),AND(HA8&lt;HB8,'01_results_input'!F53&lt;'01_results_input'!G53),AND(HA8=HB8,'01_results_input'!F53='01_results_input'!G53)),pts_group_toto,0)))</f>
      </c>
      <c r="ME8">
        <f>IF(OR(ISBLANK(HE8),ISBLANK(HF8),ISBLANK('01_results_input'!F54),ISBLANK('01_results_input'!G54)),"",IF(AND(HE8='01_results_input'!F54,HF8='01_results_input'!G54),pts_group_toto+pts_group_exact_bonus,IF(OR(AND(HE8&gt;HF8,'01_results_input'!F54&gt;'01_results_input'!G54),AND(HE8&lt;HF8,'01_results_input'!F54&lt;'01_results_input'!G54),AND(HE8=HF8,'01_results_input'!F54='01_results_input'!G54)),pts_group_toto,0)))</f>
      </c>
      <c r="MF8">
        <f>IF(OR(ISBLANK(HI8),ISBLANK(HJ8),ISBLANK('01_results_input'!F55),ISBLANK('01_results_input'!G55)),"",IF(AND(HI8='01_results_input'!F55,HJ8='01_results_input'!G55),pts_group_toto+pts_group_exact_bonus,IF(OR(AND(HI8&gt;HJ8,'01_results_input'!F55&gt;'01_results_input'!G55),AND(HI8&lt;HJ8,'01_results_input'!F55&lt;'01_results_input'!G55),AND(HI8=HJ8,'01_results_input'!F55='01_results_input'!G55)),pts_group_toto,0)))</f>
      </c>
      <c r="MG8">
        <f>IF(OR(ISBLANK(HM8),ISBLANK(HN8),ISBLANK('01_results_input'!F56),ISBLANK('01_results_input'!G56)),"",IF(AND(HM8='01_results_input'!F56,HN8='01_results_input'!G56),pts_group_toto+pts_group_exact_bonus,IF(OR(AND(HM8&gt;HN8,'01_results_input'!F56&gt;'01_results_input'!G56),AND(HM8&lt;HN8,'01_results_input'!F56&lt;'01_results_input'!G56),AND(HM8=HN8,'01_results_input'!F56='01_results_input'!G56)),pts_group_toto,0)))</f>
      </c>
      <c r="MH8">
        <f>IF(OR(ISBLANK(HQ8),ISBLANK(HR8),ISBLANK('01_results_input'!F57),ISBLANK('01_results_input'!G57)),"",IF(AND(HQ8='01_results_input'!F57,HR8='01_results_input'!G57),pts_group_toto+pts_group_exact_bonus,IF(OR(AND(HQ8&gt;HR8,'01_results_input'!F57&gt;'01_results_input'!G57),AND(HQ8&lt;HR8,'01_results_input'!F57&lt;'01_results_input'!G57),AND(HQ8=HR8,'01_results_input'!F57='01_results_input'!G57)),pts_group_toto,0)))</f>
      </c>
      <c r="MI8">
        <f>IF(OR(ISBLANK(HU8),ISBLANK(HV8),ISBLANK('01_results_input'!F58),ISBLANK('01_results_input'!G58)),"",IF(AND(HU8='01_results_input'!F58,HV8='01_results_input'!G58),pts_group_toto+pts_group_exact_bonus,IF(OR(AND(HU8&gt;HV8,'01_results_input'!F58&gt;'01_results_input'!G58),AND(HU8&lt;HV8,'01_results_input'!F58&lt;'01_results_input'!G58),AND(HU8=HV8,'01_results_input'!F58='01_results_input'!G58)),pts_group_toto,0)))</f>
      </c>
      <c r="MJ8">
        <f>IF(OR(ISBLANK(HY8),ISBLANK(HZ8),ISBLANK('01_results_input'!F59),ISBLANK('01_results_input'!G59)),"",IF(AND(HY8='01_results_input'!F59,HZ8='01_results_input'!G59),pts_group_toto+pts_group_exact_bonus,IF(OR(AND(HY8&gt;HZ8,'01_results_input'!F59&gt;'01_results_input'!G59),AND(HY8&lt;HZ8,'01_results_input'!F59&lt;'01_results_input'!G59),AND(HY8=HZ8,'01_results_input'!F59='01_results_input'!G59)),pts_group_toto,0)))</f>
      </c>
      <c r="MK8">
        <f>IF(OR(ISBLANK(IC8),ISBLANK(ID8),ISBLANK('01_results_input'!F60),ISBLANK('01_results_input'!G60)),"",IF(AND(IC8='01_results_input'!F60,ID8='01_results_input'!G60),pts_group_toto+pts_group_exact_bonus,IF(OR(AND(IC8&gt;ID8,'01_results_input'!F60&gt;'01_results_input'!G60),AND(IC8&lt;ID8,'01_results_input'!F60&lt;'01_results_input'!G60),AND(IC8=ID8,'01_results_input'!F60='01_results_input'!G60)),pts_group_toto,0)))</f>
      </c>
      <c r="ML8">
        <f>IF(OR(ISBLANK(IG8),ISBLANK(IH8),ISBLANK('01_results_input'!F61),ISBLANK('01_results_input'!G61)),"",IF(AND(IG8='01_results_input'!F61,IH8='01_results_input'!G61),pts_group_toto+pts_group_exact_bonus,IF(OR(AND(IG8&gt;IH8,'01_results_input'!F61&gt;'01_results_input'!G61),AND(IG8&lt;IH8,'01_results_input'!F61&lt;'01_results_input'!G61),AND(IG8=IH8,'01_results_input'!F61='01_results_input'!G61)),pts_group_toto,0)))</f>
      </c>
      <c r="MM8">
        <f>IF(OR(ISBLANK(IK8),ISBLANK(IL8),ISBLANK('01_results_input'!F62),ISBLANK('01_results_input'!G62)),"",IF(AND(IK8='01_results_input'!F62,IL8='01_results_input'!G62),pts_group_toto+pts_group_exact_bonus,IF(OR(AND(IK8&gt;IL8,'01_results_input'!F62&gt;'01_results_input'!G62),AND(IK8&lt;IL8,'01_results_input'!F62&lt;'01_results_input'!G62),AND(IK8=IL8,'01_results_input'!F62='01_results_input'!G62)),pts_group_toto,0)))</f>
      </c>
      <c r="MN8">
        <f>IF(OR(ISBLANK(IO8),ISBLANK(IP8),ISBLANK('01_results_input'!F63),ISBLANK('01_results_input'!G63)),"",IF(AND(IO8='01_results_input'!F63,IP8='01_results_input'!G63),pts_group_toto+pts_group_exact_bonus,IF(OR(AND(IO8&gt;IP8,'01_results_input'!F63&gt;'01_results_input'!G63),AND(IO8&lt;IP8,'01_results_input'!F63&lt;'01_results_input'!G63),AND(IO8=IP8,'01_results_input'!F63='01_results_input'!G63)),pts_group_toto,0)))</f>
      </c>
      <c r="MO8">
        <f>IF(OR(ISBLANK(IS8),ISBLANK(IT8),ISBLANK('01_results_input'!F64),ISBLANK('01_results_input'!G64)),"",IF(AND(IS8='01_results_input'!F64,IT8='01_results_input'!G64),pts_group_toto+pts_group_exact_bonus,IF(OR(AND(IS8&gt;IT8,'01_results_input'!F64&gt;'01_results_input'!G64),AND(IS8&lt;IT8,'01_results_input'!F64&lt;'01_results_input'!G64),AND(IS8=IT8,'01_results_input'!F64='01_results_input'!G64)),pts_group_toto,0)))</f>
      </c>
      <c r="MP8">
        <f>IF(OR(ISBLANK(IW8),ISBLANK(IX8),ISBLANK('01_results_input'!F65),ISBLANK('01_results_input'!G65)),"",IF(AND(IW8='01_results_input'!F65,IX8='01_results_input'!G65),pts_group_toto+pts_group_exact_bonus,IF(OR(AND(IW8&gt;IX8,'01_results_input'!F65&gt;'01_results_input'!G65),AND(IW8&lt;IX8,'01_results_input'!F65&lt;'01_results_input'!G65),AND(IW8=IX8,'01_results_input'!F65='01_results_input'!G65)),pts_group_toto,0)))</f>
      </c>
      <c r="MQ8">
        <f>IF(OR(ISBLANK(JA8),ISBLANK(JB8),ISBLANK('01_results_input'!F66),ISBLANK('01_results_input'!G66)),"",IF(AND(JA8='01_results_input'!F66,JB8='01_results_input'!G66),pts_group_toto+pts_group_exact_bonus,IF(OR(AND(JA8&gt;JB8,'01_results_input'!F66&gt;'01_results_input'!G66),AND(JA8&lt;JB8,'01_results_input'!F66&lt;'01_results_input'!G66),AND(JA8=JB8,'01_results_input'!F66='01_results_input'!G66)),pts_group_toto,0)))</f>
      </c>
      <c r="MR8">
        <f>IF(OR(ISBLANK(JE8),ISBLANK(JF8),ISBLANK('01_results_input'!F67),ISBLANK('01_results_input'!G67)),"",IF(AND(JE8='01_results_input'!F67,JF8='01_results_input'!G67),pts_group_toto+pts_group_exact_bonus,IF(OR(AND(JE8&gt;JF8,'01_results_input'!F67&gt;'01_results_input'!G67),AND(JE8&lt;JF8,'01_results_input'!F67&lt;'01_results_input'!G67),AND(JE8=JF8,'01_results_input'!F67='01_results_input'!G67)),pts_group_toto,0)))</f>
      </c>
      <c r="MS8">
        <f>IF(OR(ISBLANK(JI8),ISBLANK(JJ8),ISBLANK('01_results_input'!F68),ISBLANK('01_results_input'!G68)),"",IF(AND(JI8='01_results_input'!F68,JJ8='01_results_input'!G68),pts_group_toto+pts_group_exact_bonus,IF(OR(AND(JI8&gt;JJ8,'01_results_input'!F68&gt;'01_results_input'!G68),AND(JI8&lt;JJ8,'01_results_input'!F68&lt;'01_results_input'!G68),AND(JI8=JJ8,'01_results_input'!F68='01_results_input'!G68)),pts_group_toto,0)))</f>
      </c>
      <c r="MT8">
        <f>IF(OR(ISBLANK(JM8),ISBLANK(JN8),ISBLANK('01_results_input'!F69),ISBLANK('01_results_input'!G69)),"",IF(AND(JM8='01_results_input'!F69,JN8='01_results_input'!G69),pts_group_toto+pts_group_exact_bonus,IF(OR(AND(JM8&gt;JN8,'01_results_input'!F69&gt;'01_results_input'!G69),AND(JM8&lt;JN8,'01_results_input'!F69&lt;'01_results_input'!G69),AND(JM8=JN8,'01_results_input'!F69='01_results_input'!G69)),pts_group_toto,0)))</f>
      </c>
      <c r="MU8">
        <f>IF(OR(ISBLANK(JQ8),ISBLANK(JR8),ISBLANK('01_results_input'!F70),ISBLANK('01_results_input'!G70)),"",IF(AND(JQ8='01_results_input'!F70,JR8='01_results_input'!G70),pts_group_toto+pts_group_exact_bonus,IF(OR(AND(JQ8&gt;JR8,'01_results_input'!F70&gt;'01_results_input'!G70),AND(JQ8&lt;JR8,'01_results_input'!F70&lt;'01_results_input'!G70),AND(JQ8=JR8,'01_results_input'!F70='01_results_input'!G70)),pts_group_toto,0)))</f>
      </c>
      <c r="MV8">
        <f>IF(OR(ISBLANK(JU8),ISBLANK(JV8),ISBLANK('01_results_input'!F71),ISBLANK('01_results_input'!G71)),"",IF(AND(JU8='01_results_input'!F71,JV8='01_results_input'!G71),pts_group_toto+pts_group_exact_bonus,IF(OR(AND(JU8&gt;JV8,'01_results_input'!F71&gt;'01_results_input'!G71),AND(JU8&lt;JV8,'01_results_input'!F71&lt;'01_results_input'!G71),AND(JU8=JV8,'01_results_input'!F71='01_results_input'!G71)),pts_group_toto,0)))</f>
      </c>
      <c r="MW8">
        <f>IF(OR(ISBLANK(JY8),ISBLANK(JZ8),ISBLANK('01_results_input'!F72),ISBLANK('01_results_input'!G72)),"",IF(AND(JY8='01_results_input'!F72,JZ8='01_results_input'!G72),pts_group_toto+pts_group_exact_bonus,IF(OR(AND(JY8&gt;JZ8,'01_results_input'!F72&gt;'01_results_input'!G72),AND(JY8&lt;JZ8,'01_results_input'!F72&lt;'01_results_input'!G72),AND(JY8=JZ8,'01_results_input'!F72='01_results_input'!G72)),pts_group_toto,0)))</f>
      </c>
      <c r="MX8">
        <f>IF(OR(ISBLANK(KC8),ISBLANK(KD8),ISBLANK('01_results_input'!F73),ISBLANK('01_results_input'!G73)),"",IF(AND(KC8='01_results_input'!F73,KD8='01_results_input'!G73),pts_group_toto+pts_group_exact_bonus,IF(OR(AND(KC8&gt;KD8,'01_results_input'!F73&gt;'01_results_input'!G73),AND(KC8&lt;KD8,'01_results_input'!F73&lt;'01_results_input'!G73),AND(KC8=KD8,'01_results_input'!F73='01_results_input'!G73)),pts_group_toto,0)))</f>
      </c>
      <c r="MY8">
        <f>SUM(KE8:MX8)</f>
      </c>
    </row>
    <row r="9" spans="1:363" x14ac:dyDescent="0.25">
      <c r="A9" t="s">
        <v>568</v>
      </c>
      <c r="B9" t="s">
        <v>569</v>
      </c>
      <c r="C9" t="s">
        <v>26</v>
      </c>
      <c r="D9" t="s">
        <v>27</v>
      </c>
      <c r="E9">
        <v>2</v>
      </c>
      <c r="F9">
        <v>1</v>
      </c>
      <c r="G9" t="s">
        <v>29</v>
      </c>
      <c r="H9" t="s">
        <v>30</v>
      </c>
      <c r="I9">
        <v>3</v>
      </c>
      <c r="J9">
        <v>1</v>
      </c>
      <c r="K9" t="s">
        <v>26</v>
      </c>
      <c r="L9" t="s">
        <v>29</v>
      </c>
      <c r="M9">
        <v>1</v>
      </c>
      <c r="N9">
        <v>1</v>
      </c>
      <c r="O9" t="s">
        <v>30</v>
      </c>
      <c r="P9" t="s">
        <v>27</v>
      </c>
      <c r="Q9">
        <v>2</v>
      </c>
      <c r="R9">
        <v>2</v>
      </c>
      <c r="S9" t="s">
        <v>30</v>
      </c>
      <c r="T9" t="s">
        <v>26</v>
      </c>
      <c r="U9">
        <v>1</v>
      </c>
      <c r="V9">
        <v>1</v>
      </c>
      <c r="W9" t="s">
        <v>27</v>
      </c>
      <c r="X9" t="s">
        <v>29</v>
      </c>
      <c r="Y9">
        <v>3</v>
      </c>
      <c r="Z9">
        <v>2</v>
      </c>
      <c r="AA9" t="s">
        <v>37</v>
      </c>
      <c r="AB9" t="s">
        <v>38</v>
      </c>
      <c r="AC9">
        <v>0</v>
      </c>
      <c r="AD9">
        <v>0</v>
      </c>
      <c r="AE9" t="s">
        <v>40</v>
      </c>
      <c r="AF9" t="s">
        <v>41</v>
      </c>
      <c r="AG9">
        <v>0</v>
      </c>
      <c r="AH9">
        <v>1</v>
      </c>
      <c r="AI9" t="s">
        <v>37</v>
      </c>
      <c r="AJ9" t="s">
        <v>40</v>
      </c>
      <c r="AK9">
        <v>0</v>
      </c>
      <c r="AL9">
        <v>0</v>
      </c>
      <c r="AM9" t="s">
        <v>41</v>
      </c>
      <c r="AN9" t="s">
        <v>38</v>
      </c>
      <c r="AO9">
        <v>2</v>
      </c>
      <c r="AP9">
        <v>0</v>
      </c>
      <c r="AQ9" t="s">
        <v>41</v>
      </c>
      <c r="AR9" t="s">
        <v>37</v>
      </c>
      <c r="AS9">
        <v>2</v>
      </c>
      <c r="AT9">
        <v>0</v>
      </c>
      <c r="AU9" t="s">
        <v>38</v>
      </c>
      <c r="AV9" t="s">
        <v>40</v>
      </c>
      <c r="AW9">
        <v>1</v>
      </c>
      <c r="AX9">
        <v>1</v>
      </c>
      <c r="AY9" t="s">
        <v>48</v>
      </c>
      <c r="AZ9" t="s">
        <v>49</v>
      </c>
      <c r="BA9">
        <v>1</v>
      </c>
      <c r="BB9">
        <v>2</v>
      </c>
      <c r="BC9" t="s">
        <v>51</v>
      </c>
      <c r="BD9" t="s">
        <v>52</v>
      </c>
      <c r="BE9">
        <v>0</v>
      </c>
      <c r="BF9">
        <v>2</v>
      </c>
      <c r="BG9" t="s">
        <v>48</v>
      </c>
      <c r="BH9" t="s">
        <v>51</v>
      </c>
      <c r="BI9">
        <v>0</v>
      </c>
      <c r="BJ9">
        <v>2</v>
      </c>
      <c r="BK9" t="s">
        <v>52</v>
      </c>
      <c r="BL9" t="s">
        <v>49</v>
      </c>
      <c r="BM9">
        <v>2</v>
      </c>
      <c r="BN9">
        <v>1</v>
      </c>
      <c r="BO9" t="s">
        <v>52</v>
      </c>
      <c r="BP9" t="s">
        <v>48</v>
      </c>
      <c r="BQ9">
        <v>3</v>
      </c>
      <c r="BR9">
        <v>1</v>
      </c>
      <c r="BS9" t="s">
        <v>49</v>
      </c>
      <c r="BT9" t="s">
        <v>51</v>
      </c>
      <c r="BU9">
        <v>3</v>
      </c>
      <c r="BV9">
        <v>2</v>
      </c>
      <c r="BW9" t="s">
        <v>59</v>
      </c>
      <c r="BX9" t="s">
        <v>60</v>
      </c>
      <c r="BY9">
        <v>3</v>
      </c>
      <c r="BZ9">
        <v>1</v>
      </c>
      <c r="CA9" t="s">
        <v>62</v>
      </c>
      <c r="CB9" t="s">
        <v>63</v>
      </c>
      <c r="CC9">
        <v>1</v>
      </c>
      <c r="CD9">
        <v>2</v>
      </c>
      <c r="CE9" t="s">
        <v>59</v>
      </c>
      <c r="CF9" t="s">
        <v>62</v>
      </c>
      <c r="CG9">
        <v>1</v>
      </c>
      <c r="CH9">
        <v>1</v>
      </c>
      <c r="CI9" t="s">
        <v>63</v>
      </c>
      <c r="CJ9" t="s">
        <v>60</v>
      </c>
      <c r="CK9">
        <v>0</v>
      </c>
      <c r="CL9">
        <v>1</v>
      </c>
      <c r="CM9" t="s">
        <v>63</v>
      </c>
      <c r="CN9" t="s">
        <v>59</v>
      </c>
      <c r="CO9">
        <v>3</v>
      </c>
      <c r="CP9">
        <v>0</v>
      </c>
      <c r="CQ9" t="s">
        <v>60</v>
      </c>
      <c r="CR9" t="s">
        <v>62</v>
      </c>
      <c r="CS9">
        <v>2</v>
      </c>
      <c r="CT9">
        <v>1</v>
      </c>
      <c r="CU9" t="s">
        <v>70</v>
      </c>
      <c r="CV9" t="s">
        <v>71</v>
      </c>
      <c r="CW9">
        <v>0</v>
      </c>
      <c r="CX9">
        <v>2</v>
      </c>
      <c r="CY9" t="s">
        <v>73</v>
      </c>
      <c r="CZ9" t="s">
        <v>74</v>
      </c>
      <c r="DA9">
        <v>2</v>
      </c>
      <c r="DB9">
        <v>1</v>
      </c>
      <c r="DC9" t="s">
        <v>70</v>
      </c>
      <c r="DD9" t="s">
        <v>73</v>
      </c>
      <c r="DE9">
        <v>1</v>
      </c>
      <c r="DF9">
        <v>2</v>
      </c>
      <c r="DG9" t="s">
        <v>74</v>
      </c>
      <c r="DH9" t="s">
        <v>71</v>
      </c>
      <c r="DI9">
        <v>3</v>
      </c>
      <c r="DJ9">
        <v>0</v>
      </c>
      <c r="DK9" t="s">
        <v>74</v>
      </c>
      <c r="DL9" t="s">
        <v>70</v>
      </c>
      <c r="DM9">
        <v>3</v>
      </c>
      <c r="DN9">
        <v>1</v>
      </c>
      <c r="DO9" t="s">
        <v>71</v>
      </c>
      <c r="DP9" t="s">
        <v>73</v>
      </c>
      <c r="DQ9">
        <v>1</v>
      </c>
      <c r="DR9">
        <v>0</v>
      </c>
      <c r="DS9" t="s">
        <v>81</v>
      </c>
      <c r="DT9" t="s">
        <v>82</v>
      </c>
      <c r="DU9">
        <v>3</v>
      </c>
      <c r="DV9">
        <v>1</v>
      </c>
      <c r="DW9" t="s">
        <v>84</v>
      </c>
      <c r="DX9" t="s">
        <v>85</v>
      </c>
      <c r="DY9">
        <v>1</v>
      </c>
      <c r="DZ9">
        <v>1</v>
      </c>
      <c r="EA9" t="s">
        <v>81</v>
      </c>
      <c r="EB9" t="s">
        <v>84</v>
      </c>
      <c r="EC9">
        <v>3</v>
      </c>
      <c r="ED9">
        <v>1</v>
      </c>
      <c r="EE9" t="s">
        <v>85</v>
      </c>
      <c r="EF9" t="s">
        <v>82</v>
      </c>
      <c r="EG9">
        <v>1</v>
      </c>
      <c r="EH9">
        <v>2</v>
      </c>
      <c r="EI9" t="s">
        <v>85</v>
      </c>
      <c r="EJ9" t="s">
        <v>81</v>
      </c>
      <c r="EK9">
        <v>0</v>
      </c>
      <c r="EL9">
        <v>1</v>
      </c>
      <c r="EM9" t="s">
        <v>82</v>
      </c>
      <c r="EN9" t="s">
        <v>84</v>
      </c>
      <c r="EO9">
        <v>3</v>
      </c>
      <c r="EP9">
        <v>1</v>
      </c>
      <c r="EQ9" t="s">
        <v>92</v>
      </c>
      <c r="ER9" t="s">
        <v>93</v>
      </c>
      <c r="ES9">
        <v>3</v>
      </c>
      <c r="ET9">
        <v>1</v>
      </c>
      <c r="EU9" t="s">
        <v>95</v>
      </c>
      <c r="EV9" t="s">
        <v>96</v>
      </c>
      <c r="EW9">
        <v>1</v>
      </c>
      <c r="EX9">
        <v>0</v>
      </c>
      <c r="EY9" t="s">
        <v>92</v>
      </c>
      <c r="EZ9" t="s">
        <v>95</v>
      </c>
      <c r="FA9">
        <v>0</v>
      </c>
      <c r="FB9">
        <v>0</v>
      </c>
      <c r="FC9" t="s">
        <v>96</v>
      </c>
      <c r="FD9" t="s">
        <v>93</v>
      </c>
      <c r="FE9">
        <v>1</v>
      </c>
      <c r="FF9">
        <v>0</v>
      </c>
      <c r="FG9" t="s">
        <v>96</v>
      </c>
      <c r="FH9" t="s">
        <v>92</v>
      </c>
      <c r="FI9">
        <v>3</v>
      </c>
      <c r="FJ9">
        <v>1</v>
      </c>
      <c r="FK9" t="s">
        <v>93</v>
      </c>
      <c r="FL9" t="s">
        <v>95</v>
      </c>
      <c r="FM9">
        <v>3</v>
      </c>
      <c r="FN9">
        <v>0</v>
      </c>
      <c r="FO9" t="s">
        <v>103</v>
      </c>
      <c r="FP9" t="s">
        <v>104</v>
      </c>
      <c r="FQ9">
        <v>2</v>
      </c>
      <c r="FR9">
        <v>2</v>
      </c>
      <c r="FS9" t="s">
        <v>106</v>
      </c>
      <c r="FT9" t="s">
        <v>107</v>
      </c>
      <c r="FU9">
        <v>1</v>
      </c>
      <c r="FV9">
        <v>0</v>
      </c>
      <c r="FW9" t="s">
        <v>103</v>
      </c>
      <c r="FX9" t="s">
        <v>106</v>
      </c>
      <c r="FY9">
        <v>1</v>
      </c>
      <c r="FZ9">
        <v>0</v>
      </c>
      <c r="GA9" t="s">
        <v>107</v>
      </c>
      <c r="GB9" t="s">
        <v>104</v>
      </c>
      <c r="GC9">
        <v>2</v>
      </c>
      <c r="GD9">
        <v>2</v>
      </c>
      <c r="GE9" t="s">
        <v>107</v>
      </c>
      <c r="GF9" t="s">
        <v>103</v>
      </c>
      <c r="GG9">
        <v>3</v>
      </c>
      <c r="GH9">
        <v>1</v>
      </c>
      <c r="GI9" t="s">
        <v>104</v>
      </c>
      <c r="GJ9" t="s">
        <v>106</v>
      </c>
      <c r="GK9">
        <v>3</v>
      </c>
      <c r="GL9">
        <v>2</v>
      </c>
      <c r="GM9" t="s">
        <v>114</v>
      </c>
      <c r="GN9" t="s">
        <v>115</v>
      </c>
      <c r="GO9">
        <v>3</v>
      </c>
      <c r="GP9">
        <v>2</v>
      </c>
      <c r="GQ9" t="s">
        <v>117</v>
      </c>
      <c r="GR9" t="s">
        <v>118</v>
      </c>
      <c r="GS9">
        <v>0</v>
      </c>
      <c r="GT9">
        <v>1</v>
      </c>
      <c r="GU9" t="s">
        <v>114</v>
      </c>
      <c r="GV9" t="s">
        <v>117</v>
      </c>
      <c r="GW9">
        <v>3</v>
      </c>
      <c r="GX9">
        <v>2</v>
      </c>
      <c r="GY9" t="s">
        <v>118</v>
      </c>
      <c r="GZ9" t="s">
        <v>115</v>
      </c>
      <c r="HA9">
        <v>3</v>
      </c>
      <c r="HB9">
        <v>2</v>
      </c>
      <c r="HC9" t="s">
        <v>118</v>
      </c>
      <c r="HD9" t="s">
        <v>114</v>
      </c>
      <c r="HE9">
        <v>3</v>
      </c>
      <c r="HF9">
        <v>2</v>
      </c>
      <c r="HG9" t="s">
        <v>115</v>
      </c>
      <c r="HH9" t="s">
        <v>117</v>
      </c>
      <c r="HI9">
        <v>2</v>
      </c>
      <c r="HJ9">
        <v>2</v>
      </c>
      <c r="HK9" t="s">
        <v>125</v>
      </c>
      <c r="HL9" t="s">
        <v>126</v>
      </c>
      <c r="HM9">
        <v>2</v>
      </c>
      <c r="HN9">
        <v>0</v>
      </c>
      <c r="HO9" t="s">
        <v>128</v>
      </c>
      <c r="HP9" t="s">
        <v>129</v>
      </c>
      <c r="HQ9">
        <v>0</v>
      </c>
      <c r="HR9">
        <v>2</v>
      </c>
      <c r="HS9" t="s">
        <v>125</v>
      </c>
      <c r="HT9" t="s">
        <v>128</v>
      </c>
      <c r="HU9">
        <v>2</v>
      </c>
      <c r="HV9">
        <v>0</v>
      </c>
      <c r="HW9" t="s">
        <v>129</v>
      </c>
      <c r="HX9" t="s">
        <v>126</v>
      </c>
      <c r="HY9">
        <v>1</v>
      </c>
      <c r="HZ9">
        <v>1</v>
      </c>
      <c r="IA9" t="s">
        <v>129</v>
      </c>
      <c r="IB9" t="s">
        <v>125</v>
      </c>
      <c r="IC9">
        <v>1</v>
      </c>
      <c r="ID9">
        <v>1</v>
      </c>
      <c r="IE9" t="s">
        <v>126</v>
      </c>
      <c r="IF9" t="s">
        <v>128</v>
      </c>
      <c r="IG9">
        <v>3</v>
      </c>
      <c r="IH9">
        <v>0</v>
      </c>
      <c r="II9" t="s">
        <v>136</v>
      </c>
      <c r="IJ9" t="s">
        <v>137</v>
      </c>
      <c r="IK9">
        <v>3</v>
      </c>
      <c r="IL9">
        <v>1</v>
      </c>
      <c r="IM9" t="s">
        <v>139</v>
      </c>
      <c r="IN9" t="s">
        <v>140</v>
      </c>
      <c r="IO9">
        <v>0</v>
      </c>
      <c r="IP9">
        <v>1</v>
      </c>
      <c r="IQ9" t="s">
        <v>136</v>
      </c>
      <c r="IR9" t="s">
        <v>139</v>
      </c>
      <c r="IS9">
        <v>3</v>
      </c>
      <c r="IT9">
        <v>1</v>
      </c>
      <c r="IU9" t="s">
        <v>140</v>
      </c>
      <c r="IV9" t="s">
        <v>137</v>
      </c>
      <c r="IW9">
        <v>0</v>
      </c>
      <c r="IX9">
        <v>1</v>
      </c>
      <c r="IY9" t="s">
        <v>140</v>
      </c>
      <c r="IZ9" t="s">
        <v>136</v>
      </c>
      <c r="JA9">
        <v>1</v>
      </c>
      <c r="JB9">
        <v>0</v>
      </c>
      <c r="JC9" t="s">
        <v>137</v>
      </c>
      <c r="JD9" t="s">
        <v>139</v>
      </c>
      <c r="JE9">
        <v>0</v>
      </c>
      <c r="JF9">
        <v>2</v>
      </c>
      <c r="JG9" t="s">
        <v>147</v>
      </c>
      <c r="JH9" t="s">
        <v>148</v>
      </c>
      <c r="JI9">
        <v>3</v>
      </c>
      <c r="JJ9">
        <v>2</v>
      </c>
      <c r="JK9" t="s">
        <v>150</v>
      </c>
      <c r="JL9" t="s">
        <v>151</v>
      </c>
      <c r="JM9">
        <v>2</v>
      </c>
      <c r="JN9">
        <v>1</v>
      </c>
      <c r="JO9" t="s">
        <v>147</v>
      </c>
      <c r="JP9" t="s">
        <v>150</v>
      </c>
      <c r="JQ9">
        <v>3</v>
      </c>
      <c r="JR9">
        <v>2</v>
      </c>
      <c r="JS9" t="s">
        <v>151</v>
      </c>
      <c r="JT9" t="s">
        <v>148</v>
      </c>
      <c r="JU9">
        <v>3</v>
      </c>
      <c r="JV9">
        <v>1</v>
      </c>
      <c r="JW9" t="s">
        <v>151</v>
      </c>
      <c r="JX9" t="s">
        <v>147</v>
      </c>
      <c r="JY9">
        <v>1</v>
      </c>
      <c r="JZ9">
        <v>0</v>
      </c>
      <c r="KA9" t="s">
        <v>148</v>
      </c>
      <c r="KB9" t="s">
        <v>150</v>
      </c>
      <c r="KC9">
        <v>0</v>
      </c>
      <c r="KD9">
        <v>2</v>
      </c>
      <c r="KE9">
        <f>IF(OR(ISBLANK(E9),ISBLANK(F9),ISBLANK('01_results_input'!F2),ISBLANK('01_results_input'!G2)),"",IF(AND(E9='01_results_input'!F2,F9='01_results_input'!G2),pts_group_toto+pts_group_exact_bonus,IF(OR(AND(E9&gt;F9,'01_results_input'!F2&gt;'01_results_input'!G2),AND(E9&lt;F9,'01_results_input'!F2&lt;'01_results_input'!G2),AND(E9=F9,'01_results_input'!F2='01_results_input'!G2)),pts_group_toto,0)))</f>
      </c>
      <c r="KF9">
        <f>IF(OR(ISBLANK(I9),ISBLANK(J9),ISBLANK('01_results_input'!F3),ISBLANK('01_results_input'!G3)),"",IF(AND(I9='01_results_input'!F3,J9='01_results_input'!G3),pts_group_toto+pts_group_exact_bonus,IF(OR(AND(I9&gt;J9,'01_results_input'!F3&gt;'01_results_input'!G3),AND(I9&lt;J9,'01_results_input'!F3&lt;'01_results_input'!G3),AND(I9=J9,'01_results_input'!F3='01_results_input'!G3)),pts_group_toto,0)))</f>
      </c>
      <c r="KG9">
        <f>IF(OR(ISBLANK(M9),ISBLANK(N9),ISBLANK('01_results_input'!F4),ISBLANK('01_results_input'!G4)),"",IF(AND(M9='01_results_input'!F4,N9='01_results_input'!G4),pts_group_toto+pts_group_exact_bonus,IF(OR(AND(M9&gt;N9,'01_results_input'!F4&gt;'01_results_input'!G4),AND(M9&lt;N9,'01_results_input'!F4&lt;'01_results_input'!G4),AND(M9=N9,'01_results_input'!F4='01_results_input'!G4)),pts_group_toto,0)))</f>
      </c>
      <c r="KH9">
        <f>IF(OR(ISBLANK(Q9),ISBLANK(R9),ISBLANK('01_results_input'!F5),ISBLANK('01_results_input'!G5)),"",IF(AND(Q9='01_results_input'!F5,R9='01_results_input'!G5),pts_group_toto+pts_group_exact_bonus,IF(OR(AND(Q9&gt;R9,'01_results_input'!F5&gt;'01_results_input'!G5),AND(Q9&lt;R9,'01_results_input'!F5&lt;'01_results_input'!G5),AND(Q9=R9,'01_results_input'!F5='01_results_input'!G5)),pts_group_toto,0)))</f>
      </c>
      <c r="KI9">
        <f>IF(OR(ISBLANK(U9),ISBLANK(V9),ISBLANK('01_results_input'!F6),ISBLANK('01_results_input'!G6)),"",IF(AND(U9='01_results_input'!F6,V9='01_results_input'!G6),pts_group_toto+pts_group_exact_bonus,IF(OR(AND(U9&gt;V9,'01_results_input'!F6&gt;'01_results_input'!G6),AND(U9&lt;V9,'01_results_input'!F6&lt;'01_results_input'!G6),AND(U9=V9,'01_results_input'!F6='01_results_input'!G6)),pts_group_toto,0)))</f>
      </c>
      <c r="KJ9">
        <f>IF(OR(ISBLANK(Y9),ISBLANK(Z9),ISBLANK('01_results_input'!F7),ISBLANK('01_results_input'!G7)),"",IF(AND(Y9='01_results_input'!F7,Z9='01_results_input'!G7),pts_group_toto+pts_group_exact_bonus,IF(OR(AND(Y9&gt;Z9,'01_results_input'!F7&gt;'01_results_input'!G7),AND(Y9&lt;Z9,'01_results_input'!F7&lt;'01_results_input'!G7),AND(Y9=Z9,'01_results_input'!F7='01_results_input'!G7)),pts_group_toto,0)))</f>
      </c>
      <c r="KK9">
        <f>IF(OR(ISBLANK(AC9),ISBLANK(AD9),ISBLANK('01_results_input'!F8),ISBLANK('01_results_input'!G8)),"",IF(AND(AC9='01_results_input'!F8,AD9='01_results_input'!G8),pts_group_toto+pts_group_exact_bonus,IF(OR(AND(AC9&gt;AD9,'01_results_input'!F8&gt;'01_results_input'!G8),AND(AC9&lt;AD9,'01_results_input'!F8&lt;'01_results_input'!G8),AND(AC9=AD9,'01_results_input'!F8='01_results_input'!G8)),pts_group_toto,0)))</f>
      </c>
      <c r="KL9">
        <f>IF(OR(ISBLANK(AG9),ISBLANK(AH9),ISBLANK('01_results_input'!F9),ISBLANK('01_results_input'!G9)),"",IF(AND(AG9='01_results_input'!F9,AH9='01_results_input'!G9),pts_group_toto+pts_group_exact_bonus,IF(OR(AND(AG9&gt;AH9,'01_results_input'!F9&gt;'01_results_input'!G9),AND(AG9&lt;AH9,'01_results_input'!F9&lt;'01_results_input'!G9),AND(AG9=AH9,'01_results_input'!F9='01_results_input'!G9)),pts_group_toto,0)))</f>
      </c>
      <c r="KM9">
        <f>IF(OR(ISBLANK(AK9),ISBLANK(AL9),ISBLANK('01_results_input'!F10),ISBLANK('01_results_input'!G10)),"",IF(AND(AK9='01_results_input'!F10,AL9='01_results_input'!G10),pts_group_toto+pts_group_exact_bonus,IF(OR(AND(AK9&gt;AL9,'01_results_input'!F10&gt;'01_results_input'!G10),AND(AK9&lt;AL9,'01_results_input'!F10&lt;'01_results_input'!G10),AND(AK9=AL9,'01_results_input'!F10='01_results_input'!G10)),pts_group_toto,0)))</f>
      </c>
      <c r="KN9">
        <f>IF(OR(ISBLANK(AO9),ISBLANK(AP9),ISBLANK('01_results_input'!F11),ISBLANK('01_results_input'!G11)),"",IF(AND(AO9='01_results_input'!F11,AP9='01_results_input'!G11),pts_group_toto+pts_group_exact_bonus,IF(OR(AND(AO9&gt;AP9,'01_results_input'!F11&gt;'01_results_input'!G11),AND(AO9&lt;AP9,'01_results_input'!F11&lt;'01_results_input'!G11),AND(AO9=AP9,'01_results_input'!F11='01_results_input'!G11)),pts_group_toto,0)))</f>
      </c>
      <c r="KO9">
        <f>IF(OR(ISBLANK(AS9),ISBLANK(AT9),ISBLANK('01_results_input'!F12),ISBLANK('01_results_input'!G12)),"",IF(AND(AS9='01_results_input'!F12,AT9='01_results_input'!G12),pts_group_toto+pts_group_exact_bonus,IF(OR(AND(AS9&gt;AT9,'01_results_input'!F12&gt;'01_results_input'!G12),AND(AS9&lt;AT9,'01_results_input'!F12&lt;'01_results_input'!G12),AND(AS9=AT9,'01_results_input'!F12='01_results_input'!G12)),pts_group_toto,0)))</f>
      </c>
      <c r="KP9">
        <f>IF(OR(ISBLANK(AW9),ISBLANK(AX9),ISBLANK('01_results_input'!F13),ISBLANK('01_results_input'!G13)),"",IF(AND(AW9='01_results_input'!F13,AX9='01_results_input'!G13),pts_group_toto+pts_group_exact_bonus,IF(OR(AND(AW9&gt;AX9,'01_results_input'!F13&gt;'01_results_input'!G13),AND(AW9&lt;AX9,'01_results_input'!F13&lt;'01_results_input'!G13),AND(AW9=AX9,'01_results_input'!F13='01_results_input'!G13)),pts_group_toto,0)))</f>
      </c>
      <c r="KQ9">
        <f>IF(OR(ISBLANK(BA9),ISBLANK(BB9),ISBLANK('01_results_input'!F14),ISBLANK('01_results_input'!G14)),"",IF(AND(BA9='01_results_input'!F14,BB9='01_results_input'!G14),pts_group_toto+pts_group_exact_bonus,IF(OR(AND(BA9&gt;BB9,'01_results_input'!F14&gt;'01_results_input'!G14),AND(BA9&lt;BB9,'01_results_input'!F14&lt;'01_results_input'!G14),AND(BA9=BB9,'01_results_input'!F14='01_results_input'!G14)),pts_group_toto,0)))</f>
      </c>
      <c r="KR9">
        <f>IF(OR(ISBLANK(BE9),ISBLANK(BF9),ISBLANK('01_results_input'!F15),ISBLANK('01_results_input'!G15)),"",IF(AND(BE9='01_results_input'!F15,BF9='01_results_input'!G15),pts_group_toto+pts_group_exact_bonus,IF(OR(AND(BE9&gt;BF9,'01_results_input'!F15&gt;'01_results_input'!G15),AND(BE9&lt;BF9,'01_results_input'!F15&lt;'01_results_input'!G15),AND(BE9=BF9,'01_results_input'!F15='01_results_input'!G15)),pts_group_toto,0)))</f>
      </c>
      <c r="KS9">
        <f>IF(OR(ISBLANK(BI9),ISBLANK(BJ9),ISBLANK('01_results_input'!F16),ISBLANK('01_results_input'!G16)),"",IF(AND(BI9='01_results_input'!F16,BJ9='01_results_input'!G16),pts_group_toto+pts_group_exact_bonus,IF(OR(AND(BI9&gt;BJ9,'01_results_input'!F16&gt;'01_results_input'!G16),AND(BI9&lt;BJ9,'01_results_input'!F16&lt;'01_results_input'!G16),AND(BI9=BJ9,'01_results_input'!F16='01_results_input'!G16)),pts_group_toto,0)))</f>
      </c>
      <c r="KT9">
        <f>IF(OR(ISBLANK(BM9),ISBLANK(BN9),ISBLANK('01_results_input'!F17),ISBLANK('01_results_input'!G17)),"",IF(AND(BM9='01_results_input'!F17,BN9='01_results_input'!G17),pts_group_toto+pts_group_exact_bonus,IF(OR(AND(BM9&gt;BN9,'01_results_input'!F17&gt;'01_results_input'!G17),AND(BM9&lt;BN9,'01_results_input'!F17&lt;'01_results_input'!G17),AND(BM9=BN9,'01_results_input'!F17='01_results_input'!G17)),pts_group_toto,0)))</f>
      </c>
      <c r="KU9">
        <f>IF(OR(ISBLANK(BQ9),ISBLANK(BR9),ISBLANK('01_results_input'!F18),ISBLANK('01_results_input'!G18)),"",IF(AND(BQ9='01_results_input'!F18,BR9='01_results_input'!G18),pts_group_toto+pts_group_exact_bonus,IF(OR(AND(BQ9&gt;BR9,'01_results_input'!F18&gt;'01_results_input'!G18),AND(BQ9&lt;BR9,'01_results_input'!F18&lt;'01_results_input'!G18),AND(BQ9=BR9,'01_results_input'!F18='01_results_input'!G18)),pts_group_toto,0)))</f>
      </c>
      <c r="KV9">
        <f>IF(OR(ISBLANK(BU9),ISBLANK(BV9),ISBLANK('01_results_input'!F19),ISBLANK('01_results_input'!G19)),"",IF(AND(BU9='01_results_input'!F19,BV9='01_results_input'!G19),pts_group_toto+pts_group_exact_bonus,IF(OR(AND(BU9&gt;BV9,'01_results_input'!F19&gt;'01_results_input'!G19),AND(BU9&lt;BV9,'01_results_input'!F19&lt;'01_results_input'!G19),AND(BU9=BV9,'01_results_input'!F19='01_results_input'!G19)),pts_group_toto,0)))</f>
      </c>
      <c r="KW9">
        <f>IF(OR(ISBLANK(BY9),ISBLANK(BZ9),ISBLANK('01_results_input'!F20),ISBLANK('01_results_input'!G20)),"",IF(AND(BY9='01_results_input'!F20,BZ9='01_results_input'!G20),pts_group_toto+pts_group_exact_bonus,IF(OR(AND(BY9&gt;BZ9,'01_results_input'!F20&gt;'01_results_input'!G20),AND(BY9&lt;BZ9,'01_results_input'!F20&lt;'01_results_input'!G20),AND(BY9=BZ9,'01_results_input'!F20='01_results_input'!G20)),pts_group_toto,0)))</f>
      </c>
      <c r="KX9">
        <f>IF(OR(ISBLANK(CC9),ISBLANK(CD9),ISBLANK('01_results_input'!F21),ISBLANK('01_results_input'!G21)),"",IF(AND(CC9='01_results_input'!F21,CD9='01_results_input'!G21),pts_group_toto+pts_group_exact_bonus,IF(OR(AND(CC9&gt;CD9,'01_results_input'!F21&gt;'01_results_input'!G21),AND(CC9&lt;CD9,'01_results_input'!F21&lt;'01_results_input'!G21),AND(CC9=CD9,'01_results_input'!F21='01_results_input'!G21)),pts_group_toto,0)))</f>
      </c>
      <c r="KY9">
        <f>IF(OR(ISBLANK(CG9),ISBLANK(CH9),ISBLANK('01_results_input'!F22),ISBLANK('01_results_input'!G22)),"",IF(AND(CG9='01_results_input'!F22,CH9='01_results_input'!G22),pts_group_toto+pts_group_exact_bonus,IF(OR(AND(CG9&gt;CH9,'01_results_input'!F22&gt;'01_results_input'!G22),AND(CG9&lt;CH9,'01_results_input'!F22&lt;'01_results_input'!G22),AND(CG9=CH9,'01_results_input'!F22='01_results_input'!G22)),pts_group_toto,0)))</f>
      </c>
      <c r="KZ9">
        <f>IF(OR(ISBLANK(CK9),ISBLANK(CL9),ISBLANK('01_results_input'!F23),ISBLANK('01_results_input'!G23)),"",IF(AND(CK9='01_results_input'!F23,CL9='01_results_input'!G23),pts_group_toto+pts_group_exact_bonus,IF(OR(AND(CK9&gt;CL9,'01_results_input'!F23&gt;'01_results_input'!G23),AND(CK9&lt;CL9,'01_results_input'!F23&lt;'01_results_input'!G23),AND(CK9=CL9,'01_results_input'!F23='01_results_input'!G23)),pts_group_toto,0)))</f>
      </c>
      <c r="LA9">
        <f>IF(OR(ISBLANK(CO9),ISBLANK(CP9),ISBLANK('01_results_input'!F24),ISBLANK('01_results_input'!G24)),"",IF(AND(CO9='01_results_input'!F24,CP9='01_results_input'!G24),pts_group_toto+pts_group_exact_bonus,IF(OR(AND(CO9&gt;CP9,'01_results_input'!F24&gt;'01_results_input'!G24),AND(CO9&lt;CP9,'01_results_input'!F24&lt;'01_results_input'!G24),AND(CO9=CP9,'01_results_input'!F24='01_results_input'!G24)),pts_group_toto,0)))</f>
      </c>
      <c r="LB9">
        <f>IF(OR(ISBLANK(CS9),ISBLANK(CT9),ISBLANK('01_results_input'!F25),ISBLANK('01_results_input'!G25)),"",IF(AND(CS9='01_results_input'!F25,CT9='01_results_input'!G25),pts_group_toto+pts_group_exact_bonus,IF(OR(AND(CS9&gt;CT9,'01_results_input'!F25&gt;'01_results_input'!G25),AND(CS9&lt;CT9,'01_results_input'!F25&lt;'01_results_input'!G25),AND(CS9=CT9,'01_results_input'!F25='01_results_input'!G25)),pts_group_toto,0)))</f>
      </c>
      <c r="LC9">
        <f>IF(OR(ISBLANK(CW9),ISBLANK(CX9),ISBLANK('01_results_input'!F26),ISBLANK('01_results_input'!G26)),"",IF(AND(CW9='01_results_input'!F26,CX9='01_results_input'!G26),pts_group_toto+pts_group_exact_bonus,IF(OR(AND(CW9&gt;CX9,'01_results_input'!F26&gt;'01_results_input'!G26),AND(CW9&lt;CX9,'01_results_input'!F26&lt;'01_results_input'!G26),AND(CW9=CX9,'01_results_input'!F26='01_results_input'!G26)),pts_group_toto,0)))</f>
      </c>
      <c r="LD9">
        <f>IF(OR(ISBLANK(DA9),ISBLANK(DB9),ISBLANK('01_results_input'!F27),ISBLANK('01_results_input'!G27)),"",IF(AND(DA9='01_results_input'!F27,DB9='01_results_input'!G27),pts_group_toto+pts_group_exact_bonus,IF(OR(AND(DA9&gt;DB9,'01_results_input'!F27&gt;'01_results_input'!G27),AND(DA9&lt;DB9,'01_results_input'!F27&lt;'01_results_input'!G27),AND(DA9=DB9,'01_results_input'!F27='01_results_input'!G27)),pts_group_toto,0)))</f>
      </c>
      <c r="LE9">
        <f>IF(OR(ISBLANK(DE9),ISBLANK(DF9),ISBLANK('01_results_input'!F28),ISBLANK('01_results_input'!G28)),"",IF(AND(DE9='01_results_input'!F28,DF9='01_results_input'!G28),pts_group_toto+pts_group_exact_bonus,IF(OR(AND(DE9&gt;DF9,'01_results_input'!F28&gt;'01_results_input'!G28),AND(DE9&lt;DF9,'01_results_input'!F28&lt;'01_results_input'!G28),AND(DE9=DF9,'01_results_input'!F28='01_results_input'!G28)),pts_group_toto,0)))</f>
      </c>
      <c r="LF9">
        <f>IF(OR(ISBLANK(DI9),ISBLANK(DJ9),ISBLANK('01_results_input'!F29),ISBLANK('01_results_input'!G29)),"",IF(AND(DI9='01_results_input'!F29,DJ9='01_results_input'!G29),pts_group_toto+pts_group_exact_bonus,IF(OR(AND(DI9&gt;DJ9,'01_results_input'!F29&gt;'01_results_input'!G29),AND(DI9&lt;DJ9,'01_results_input'!F29&lt;'01_results_input'!G29),AND(DI9=DJ9,'01_results_input'!F29='01_results_input'!G29)),pts_group_toto,0)))</f>
      </c>
      <c r="LG9">
        <f>IF(OR(ISBLANK(DM9),ISBLANK(DN9),ISBLANK('01_results_input'!F30),ISBLANK('01_results_input'!G30)),"",IF(AND(DM9='01_results_input'!F30,DN9='01_results_input'!G30),pts_group_toto+pts_group_exact_bonus,IF(OR(AND(DM9&gt;DN9,'01_results_input'!F30&gt;'01_results_input'!G30),AND(DM9&lt;DN9,'01_results_input'!F30&lt;'01_results_input'!G30),AND(DM9=DN9,'01_results_input'!F30='01_results_input'!G30)),pts_group_toto,0)))</f>
      </c>
      <c r="LH9">
        <f>IF(OR(ISBLANK(DQ9),ISBLANK(DR9),ISBLANK('01_results_input'!F31),ISBLANK('01_results_input'!G31)),"",IF(AND(DQ9='01_results_input'!F31,DR9='01_results_input'!G31),pts_group_toto+pts_group_exact_bonus,IF(OR(AND(DQ9&gt;DR9,'01_results_input'!F31&gt;'01_results_input'!G31),AND(DQ9&lt;DR9,'01_results_input'!F31&lt;'01_results_input'!G31),AND(DQ9=DR9,'01_results_input'!F31='01_results_input'!G31)),pts_group_toto,0)))</f>
      </c>
      <c r="LI9">
        <f>IF(OR(ISBLANK(DU9),ISBLANK(DV9),ISBLANK('01_results_input'!F32),ISBLANK('01_results_input'!G32)),"",IF(AND(DU9='01_results_input'!F32,DV9='01_results_input'!G32),pts_group_toto+pts_group_exact_bonus,IF(OR(AND(DU9&gt;DV9,'01_results_input'!F32&gt;'01_results_input'!G32),AND(DU9&lt;DV9,'01_results_input'!F32&lt;'01_results_input'!G32),AND(DU9=DV9,'01_results_input'!F32='01_results_input'!G32)),pts_group_toto,0)))</f>
      </c>
      <c r="LJ9">
        <f>IF(OR(ISBLANK(DY9),ISBLANK(DZ9),ISBLANK('01_results_input'!F33),ISBLANK('01_results_input'!G33)),"",IF(AND(DY9='01_results_input'!F33,DZ9='01_results_input'!G33),pts_group_toto+pts_group_exact_bonus,IF(OR(AND(DY9&gt;DZ9,'01_results_input'!F33&gt;'01_results_input'!G33),AND(DY9&lt;DZ9,'01_results_input'!F33&lt;'01_results_input'!G33),AND(DY9=DZ9,'01_results_input'!F33='01_results_input'!G33)),pts_group_toto,0)))</f>
      </c>
      <c r="LK9">
        <f>IF(OR(ISBLANK(EC9),ISBLANK(ED9),ISBLANK('01_results_input'!F34),ISBLANK('01_results_input'!G34)),"",IF(AND(EC9='01_results_input'!F34,ED9='01_results_input'!G34),pts_group_toto+pts_group_exact_bonus,IF(OR(AND(EC9&gt;ED9,'01_results_input'!F34&gt;'01_results_input'!G34),AND(EC9&lt;ED9,'01_results_input'!F34&lt;'01_results_input'!G34),AND(EC9=ED9,'01_results_input'!F34='01_results_input'!G34)),pts_group_toto,0)))</f>
      </c>
      <c r="LL9">
        <f>IF(OR(ISBLANK(EG9),ISBLANK(EH9),ISBLANK('01_results_input'!F35),ISBLANK('01_results_input'!G35)),"",IF(AND(EG9='01_results_input'!F35,EH9='01_results_input'!G35),pts_group_toto+pts_group_exact_bonus,IF(OR(AND(EG9&gt;EH9,'01_results_input'!F35&gt;'01_results_input'!G35),AND(EG9&lt;EH9,'01_results_input'!F35&lt;'01_results_input'!G35),AND(EG9=EH9,'01_results_input'!F35='01_results_input'!G35)),pts_group_toto,0)))</f>
      </c>
      <c r="LM9">
        <f>IF(OR(ISBLANK(EK9),ISBLANK(EL9),ISBLANK('01_results_input'!F36),ISBLANK('01_results_input'!G36)),"",IF(AND(EK9='01_results_input'!F36,EL9='01_results_input'!G36),pts_group_toto+pts_group_exact_bonus,IF(OR(AND(EK9&gt;EL9,'01_results_input'!F36&gt;'01_results_input'!G36),AND(EK9&lt;EL9,'01_results_input'!F36&lt;'01_results_input'!G36),AND(EK9=EL9,'01_results_input'!F36='01_results_input'!G36)),pts_group_toto,0)))</f>
      </c>
      <c r="LN9">
        <f>IF(OR(ISBLANK(EO9),ISBLANK(EP9),ISBLANK('01_results_input'!F37),ISBLANK('01_results_input'!G37)),"",IF(AND(EO9='01_results_input'!F37,EP9='01_results_input'!G37),pts_group_toto+pts_group_exact_bonus,IF(OR(AND(EO9&gt;EP9,'01_results_input'!F37&gt;'01_results_input'!G37),AND(EO9&lt;EP9,'01_results_input'!F37&lt;'01_results_input'!G37),AND(EO9=EP9,'01_results_input'!F37='01_results_input'!G37)),pts_group_toto,0)))</f>
      </c>
      <c r="LO9">
        <f>IF(OR(ISBLANK(ES9),ISBLANK(ET9),ISBLANK('01_results_input'!F38),ISBLANK('01_results_input'!G38)),"",IF(AND(ES9='01_results_input'!F38,ET9='01_results_input'!G38),pts_group_toto+pts_group_exact_bonus,IF(OR(AND(ES9&gt;ET9,'01_results_input'!F38&gt;'01_results_input'!G38),AND(ES9&lt;ET9,'01_results_input'!F38&lt;'01_results_input'!G38),AND(ES9=ET9,'01_results_input'!F38='01_results_input'!G38)),pts_group_toto,0)))</f>
      </c>
      <c r="LP9">
        <f>IF(OR(ISBLANK(EW9),ISBLANK(EX9),ISBLANK('01_results_input'!F39),ISBLANK('01_results_input'!G39)),"",IF(AND(EW9='01_results_input'!F39,EX9='01_results_input'!G39),pts_group_toto+pts_group_exact_bonus,IF(OR(AND(EW9&gt;EX9,'01_results_input'!F39&gt;'01_results_input'!G39),AND(EW9&lt;EX9,'01_results_input'!F39&lt;'01_results_input'!G39),AND(EW9=EX9,'01_results_input'!F39='01_results_input'!G39)),pts_group_toto,0)))</f>
      </c>
      <c r="LQ9">
        <f>IF(OR(ISBLANK(FA9),ISBLANK(FB9),ISBLANK('01_results_input'!F40),ISBLANK('01_results_input'!G40)),"",IF(AND(FA9='01_results_input'!F40,FB9='01_results_input'!G40),pts_group_toto+pts_group_exact_bonus,IF(OR(AND(FA9&gt;FB9,'01_results_input'!F40&gt;'01_results_input'!G40),AND(FA9&lt;FB9,'01_results_input'!F40&lt;'01_results_input'!G40),AND(FA9=FB9,'01_results_input'!F40='01_results_input'!G40)),pts_group_toto,0)))</f>
      </c>
      <c r="LR9">
        <f>IF(OR(ISBLANK(FE9),ISBLANK(FF9),ISBLANK('01_results_input'!F41),ISBLANK('01_results_input'!G41)),"",IF(AND(FE9='01_results_input'!F41,FF9='01_results_input'!G41),pts_group_toto+pts_group_exact_bonus,IF(OR(AND(FE9&gt;FF9,'01_results_input'!F41&gt;'01_results_input'!G41),AND(FE9&lt;FF9,'01_results_input'!F41&lt;'01_results_input'!G41),AND(FE9=FF9,'01_results_input'!F41='01_results_input'!G41)),pts_group_toto,0)))</f>
      </c>
      <c r="LS9">
        <f>IF(OR(ISBLANK(FI9),ISBLANK(FJ9),ISBLANK('01_results_input'!F42),ISBLANK('01_results_input'!G42)),"",IF(AND(FI9='01_results_input'!F42,FJ9='01_results_input'!G42),pts_group_toto+pts_group_exact_bonus,IF(OR(AND(FI9&gt;FJ9,'01_results_input'!F42&gt;'01_results_input'!G42),AND(FI9&lt;FJ9,'01_results_input'!F42&lt;'01_results_input'!G42),AND(FI9=FJ9,'01_results_input'!F42='01_results_input'!G42)),pts_group_toto,0)))</f>
      </c>
      <c r="LT9">
        <f>IF(OR(ISBLANK(FM9),ISBLANK(FN9),ISBLANK('01_results_input'!F43),ISBLANK('01_results_input'!G43)),"",IF(AND(FM9='01_results_input'!F43,FN9='01_results_input'!G43),pts_group_toto+pts_group_exact_bonus,IF(OR(AND(FM9&gt;FN9,'01_results_input'!F43&gt;'01_results_input'!G43),AND(FM9&lt;FN9,'01_results_input'!F43&lt;'01_results_input'!G43),AND(FM9=FN9,'01_results_input'!F43='01_results_input'!G43)),pts_group_toto,0)))</f>
      </c>
      <c r="LU9">
        <f>IF(OR(ISBLANK(FQ9),ISBLANK(FR9),ISBLANK('01_results_input'!F44),ISBLANK('01_results_input'!G44)),"",IF(AND(FQ9='01_results_input'!F44,FR9='01_results_input'!G44),pts_group_toto+pts_group_exact_bonus,IF(OR(AND(FQ9&gt;FR9,'01_results_input'!F44&gt;'01_results_input'!G44),AND(FQ9&lt;FR9,'01_results_input'!F44&lt;'01_results_input'!G44),AND(FQ9=FR9,'01_results_input'!F44='01_results_input'!G44)),pts_group_toto,0)))</f>
      </c>
      <c r="LV9">
        <f>IF(OR(ISBLANK(FU9),ISBLANK(FV9),ISBLANK('01_results_input'!F45),ISBLANK('01_results_input'!G45)),"",IF(AND(FU9='01_results_input'!F45,FV9='01_results_input'!G45),pts_group_toto+pts_group_exact_bonus,IF(OR(AND(FU9&gt;FV9,'01_results_input'!F45&gt;'01_results_input'!G45),AND(FU9&lt;FV9,'01_results_input'!F45&lt;'01_results_input'!G45),AND(FU9=FV9,'01_results_input'!F45='01_results_input'!G45)),pts_group_toto,0)))</f>
      </c>
      <c r="LW9">
        <f>IF(OR(ISBLANK(FY9),ISBLANK(FZ9),ISBLANK('01_results_input'!F46),ISBLANK('01_results_input'!G46)),"",IF(AND(FY9='01_results_input'!F46,FZ9='01_results_input'!G46),pts_group_toto+pts_group_exact_bonus,IF(OR(AND(FY9&gt;FZ9,'01_results_input'!F46&gt;'01_results_input'!G46),AND(FY9&lt;FZ9,'01_results_input'!F46&lt;'01_results_input'!G46),AND(FY9=FZ9,'01_results_input'!F46='01_results_input'!G46)),pts_group_toto,0)))</f>
      </c>
      <c r="LX9">
        <f>IF(OR(ISBLANK(GC9),ISBLANK(GD9),ISBLANK('01_results_input'!F47),ISBLANK('01_results_input'!G47)),"",IF(AND(GC9='01_results_input'!F47,GD9='01_results_input'!G47),pts_group_toto+pts_group_exact_bonus,IF(OR(AND(GC9&gt;GD9,'01_results_input'!F47&gt;'01_results_input'!G47),AND(GC9&lt;GD9,'01_results_input'!F47&lt;'01_results_input'!G47),AND(GC9=GD9,'01_results_input'!F47='01_results_input'!G47)),pts_group_toto,0)))</f>
      </c>
      <c r="LY9">
        <f>IF(OR(ISBLANK(GG9),ISBLANK(GH9),ISBLANK('01_results_input'!F48),ISBLANK('01_results_input'!G48)),"",IF(AND(GG9='01_results_input'!F48,GH9='01_results_input'!G48),pts_group_toto+pts_group_exact_bonus,IF(OR(AND(GG9&gt;GH9,'01_results_input'!F48&gt;'01_results_input'!G48),AND(GG9&lt;GH9,'01_results_input'!F48&lt;'01_results_input'!G48),AND(GG9=GH9,'01_results_input'!F48='01_results_input'!G48)),pts_group_toto,0)))</f>
      </c>
      <c r="LZ9">
        <f>IF(OR(ISBLANK(GK9),ISBLANK(GL9),ISBLANK('01_results_input'!F49),ISBLANK('01_results_input'!G49)),"",IF(AND(GK9='01_results_input'!F49,GL9='01_results_input'!G49),pts_group_toto+pts_group_exact_bonus,IF(OR(AND(GK9&gt;GL9,'01_results_input'!F49&gt;'01_results_input'!G49),AND(GK9&lt;GL9,'01_results_input'!F49&lt;'01_results_input'!G49),AND(GK9=GL9,'01_results_input'!F49='01_results_input'!G49)),pts_group_toto,0)))</f>
      </c>
      <c r="MA9">
        <f>IF(OR(ISBLANK(GO9),ISBLANK(GP9),ISBLANK('01_results_input'!F50),ISBLANK('01_results_input'!G50)),"",IF(AND(GO9='01_results_input'!F50,GP9='01_results_input'!G50),pts_group_toto+pts_group_exact_bonus,IF(OR(AND(GO9&gt;GP9,'01_results_input'!F50&gt;'01_results_input'!G50),AND(GO9&lt;GP9,'01_results_input'!F50&lt;'01_results_input'!G50),AND(GO9=GP9,'01_results_input'!F50='01_results_input'!G50)),pts_group_toto,0)))</f>
      </c>
      <c r="MB9">
        <f>IF(OR(ISBLANK(GS9),ISBLANK(GT9),ISBLANK('01_results_input'!F51),ISBLANK('01_results_input'!G51)),"",IF(AND(GS9='01_results_input'!F51,GT9='01_results_input'!G51),pts_group_toto+pts_group_exact_bonus,IF(OR(AND(GS9&gt;GT9,'01_results_input'!F51&gt;'01_results_input'!G51),AND(GS9&lt;GT9,'01_results_input'!F51&lt;'01_results_input'!G51),AND(GS9=GT9,'01_results_input'!F51='01_results_input'!G51)),pts_group_toto,0)))</f>
      </c>
      <c r="MC9">
        <f>IF(OR(ISBLANK(GW9),ISBLANK(GX9),ISBLANK('01_results_input'!F52),ISBLANK('01_results_input'!G52)),"",IF(AND(GW9='01_results_input'!F52,GX9='01_results_input'!G52),pts_group_toto+pts_group_exact_bonus,IF(OR(AND(GW9&gt;GX9,'01_results_input'!F52&gt;'01_results_input'!G52),AND(GW9&lt;GX9,'01_results_input'!F52&lt;'01_results_input'!G52),AND(GW9=GX9,'01_results_input'!F52='01_results_input'!G52)),pts_group_toto,0)))</f>
      </c>
      <c r="MD9">
        <f>IF(OR(ISBLANK(HA9),ISBLANK(HB9),ISBLANK('01_results_input'!F53),ISBLANK('01_results_input'!G53)),"",IF(AND(HA9='01_results_input'!F53,HB9='01_results_input'!G53),pts_group_toto+pts_group_exact_bonus,IF(OR(AND(HA9&gt;HB9,'01_results_input'!F53&gt;'01_results_input'!G53),AND(HA9&lt;HB9,'01_results_input'!F53&lt;'01_results_input'!G53),AND(HA9=HB9,'01_results_input'!F53='01_results_input'!G53)),pts_group_toto,0)))</f>
      </c>
      <c r="ME9">
        <f>IF(OR(ISBLANK(HE9),ISBLANK(HF9),ISBLANK('01_results_input'!F54),ISBLANK('01_results_input'!G54)),"",IF(AND(HE9='01_results_input'!F54,HF9='01_results_input'!G54),pts_group_toto+pts_group_exact_bonus,IF(OR(AND(HE9&gt;HF9,'01_results_input'!F54&gt;'01_results_input'!G54),AND(HE9&lt;HF9,'01_results_input'!F54&lt;'01_results_input'!G54),AND(HE9=HF9,'01_results_input'!F54='01_results_input'!G54)),pts_group_toto,0)))</f>
      </c>
      <c r="MF9">
        <f>IF(OR(ISBLANK(HI9),ISBLANK(HJ9),ISBLANK('01_results_input'!F55),ISBLANK('01_results_input'!G55)),"",IF(AND(HI9='01_results_input'!F55,HJ9='01_results_input'!G55),pts_group_toto+pts_group_exact_bonus,IF(OR(AND(HI9&gt;HJ9,'01_results_input'!F55&gt;'01_results_input'!G55),AND(HI9&lt;HJ9,'01_results_input'!F55&lt;'01_results_input'!G55),AND(HI9=HJ9,'01_results_input'!F55='01_results_input'!G55)),pts_group_toto,0)))</f>
      </c>
      <c r="MG9">
        <f>IF(OR(ISBLANK(HM9),ISBLANK(HN9),ISBLANK('01_results_input'!F56),ISBLANK('01_results_input'!G56)),"",IF(AND(HM9='01_results_input'!F56,HN9='01_results_input'!G56),pts_group_toto+pts_group_exact_bonus,IF(OR(AND(HM9&gt;HN9,'01_results_input'!F56&gt;'01_results_input'!G56),AND(HM9&lt;HN9,'01_results_input'!F56&lt;'01_results_input'!G56),AND(HM9=HN9,'01_results_input'!F56='01_results_input'!G56)),pts_group_toto,0)))</f>
      </c>
      <c r="MH9">
        <f>IF(OR(ISBLANK(HQ9),ISBLANK(HR9),ISBLANK('01_results_input'!F57),ISBLANK('01_results_input'!G57)),"",IF(AND(HQ9='01_results_input'!F57,HR9='01_results_input'!G57),pts_group_toto+pts_group_exact_bonus,IF(OR(AND(HQ9&gt;HR9,'01_results_input'!F57&gt;'01_results_input'!G57),AND(HQ9&lt;HR9,'01_results_input'!F57&lt;'01_results_input'!G57),AND(HQ9=HR9,'01_results_input'!F57='01_results_input'!G57)),pts_group_toto,0)))</f>
      </c>
      <c r="MI9">
        <f>IF(OR(ISBLANK(HU9),ISBLANK(HV9),ISBLANK('01_results_input'!F58),ISBLANK('01_results_input'!G58)),"",IF(AND(HU9='01_results_input'!F58,HV9='01_results_input'!G58),pts_group_toto+pts_group_exact_bonus,IF(OR(AND(HU9&gt;HV9,'01_results_input'!F58&gt;'01_results_input'!G58),AND(HU9&lt;HV9,'01_results_input'!F58&lt;'01_results_input'!G58),AND(HU9=HV9,'01_results_input'!F58='01_results_input'!G58)),pts_group_toto,0)))</f>
      </c>
      <c r="MJ9">
        <f>IF(OR(ISBLANK(HY9),ISBLANK(HZ9),ISBLANK('01_results_input'!F59),ISBLANK('01_results_input'!G59)),"",IF(AND(HY9='01_results_input'!F59,HZ9='01_results_input'!G59),pts_group_toto+pts_group_exact_bonus,IF(OR(AND(HY9&gt;HZ9,'01_results_input'!F59&gt;'01_results_input'!G59),AND(HY9&lt;HZ9,'01_results_input'!F59&lt;'01_results_input'!G59),AND(HY9=HZ9,'01_results_input'!F59='01_results_input'!G59)),pts_group_toto,0)))</f>
      </c>
      <c r="MK9">
        <f>IF(OR(ISBLANK(IC9),ISBLANK(ID9),ISBLANK('01_results_input'!F60),ISBLANK('01_results_input'!G60)),"",IF(AND(IC9='01_results_input'!F60,ID9='01_results_input'!G60),pts_group_toto+pts_group_exact_bonus,IF(OR(AND(IC9&gt;ID9,'01_results_input'!F60&gt;'01_results_input'!G60),AND(IC9&lt;ID9,'01_results_input'!F60&lt;'01_results_input'!G60),AND(IC9=ID9,'01_results_input'!F60='01_results_input'!G60)),pts_group_toto,0)))</f>
      </c>
      <c r="ML9">
        <f>IF(OR(ISBLANK(IG9),ISBLANK(IH9),ISBLANK('01_results_input'!F61),ISBLANK('01_results_input'!G61)),"",IF(AND(IG9='01_results_input'!F61,IH9='01_results_input'!G61),pts_group_toto+pts_group_exact_bonus,IF(OR(AND(IG9&gt;IH9,'01_results_input'!F61&gt;'01_results_input'!G61),AND(IG9&lt;IH9,'01_results_input'!F61&lt;'01_results_input'!G61),AND(IG9=IH9,'01_results_input'!F61='01_results_input'!G61)),pts_group_toto,0)))</f>
      </c>
      <c r="MM9">
        <f>IF(OR(ISBLANK(IK9),ISBLANK(IL9),ISBLANK('01_results_input'!F62),ISBLANK('01_results_input'!G62)),"",IF(AND(IK9='01_results_input'!F62,IL9='01_results_input'!G62),pts_group_toto+pts_group_exact_bonus,IF(OR(AND(IK9&gt;IL9,'01_results_input'!F62&gt;'01_results_input'!G62),AND(IK9&lt;IL9,'01_results_input'!F62&lt;'01_results_input'!G62),AND(IK9=IL9,'01_results_input'!F62='01_results_input'!G62)),pts_group_toto,0)))</f>
      </c>
      <c r="MN9">
        <f>IF(OR(ISBLANK(IO9),ISBLANK(IP9),ISBLANK('01_results_input'!F63),ISBLANK('01_results_input'!G63)),"",IF(AND(IO9='01_results_input'!F63,IP9='01_results_input'!G63),pts_group_toto+pts_group_exact_bonus,IF(OR(AND(IO9&gt;IP9,'01_results_input'!F63&gt;'01_results_input'!G63),AND(IO9&lt;IP9,'01_results_input'!F63&lt;'01_results_input'!G63),AND(IO9=IP9,'01_results_input'!F63='01_results_input'!G63)),pts_group_toto,0)))</f>
      </c>
      <c r="MO9">
        <f>IF(OR(ISBLANK(IS9),ISBLANK(IT9),ISBLANK('01_results_input'!F64),ISBLANK('01_results_input'!G64)),"",IF(AND(IS9='01_results_input'!F64,IT9='01_results_input'!G64),pts_group_toto+pts_group_exact_bonus,IF(OR(AND(IS9&gt;IT9,'01_results_input'!F64&gt;'01_results_input'!G64),AND(IS9&lt;IT9,'01_results_input'!F64&lt;'01_results_input'!G64),AND(IS9=IT9,'01_results_input'!F64='01_results_input'!G64)),pts_group_toto,0)))</f>
      </c>
      <c r="MP9">
        <f>IF(OR(ISBLANK(IW9),ISBLANK(IX9),ISBLANK('01_results_input'!F65),ISBLANK('01_results_input'!G65)),"",IF(AND(IW9='01_results_input'!F65,IX9='01_results_input'!G65),pts_group_toto+pts_group_exact_bonus,IF(OR(AND(IW9&gt;IX9,'01_results_input'!F65&gt;'01_results_input'!G65),AND(IW9&lt;IX9,'01_results_input'!F65&lt;'01_results_input'!G65),AND(IW9=IX9,'01_results_input'!F65='01_results_input'!G65)),pts_group_toto,0)))</f>
      </c>
      <c r="MQ9">
        <f>IF(OR(ISBLANK(JA9),ISBLANK(JB9),ISBLANK('01_results_input'!F66),ISBLANK('01_results_input'!G66)),"",IF(AND(JA9='01_results_input'!F66,JB9='01_results_input'!G66),pts_group_toto+pts_group_exact_bonus,IF(OR(AND(JA9&gt;JB9,'01_results_input'!F66&gt;'01_results_input'!G66),AND(JA9&lt;JB9,'01_results_input'!F66&lt;'01_results_input'!G66),AND(JA9=JB9,'01_results_input'!F66='01_results_input'!G66)),pts_group_toto,0)))</f>
      </c>
      <c r="MR9">
        <f>IF(OR(ISBLANK(JE9),ISBLANK(JF9),ISBLANK('01_results_input'!F67),ISBLANK('01_results_input'!G67)),"",IF(AND(JE9='01_results_input'!F67,JF9='01_results_input'!G67),pts_group_toto+pts_group_exact_bonus,IF(OR(AND(JE9&gt;JF9,'01_results_input'!F67&gt;'01_results_input'!G67),AND(JE9&lt;JF9,'01_results_input'!F67&lt;'01_results_input'!G67),AND(JE9=JF9,'01_results_input'!F67='01_results_input'!G67)),pts_group_toto,0)))</f>
      </c>
      <c r="MS9">
        <f>IF(OR(ISBLANK(JI9),ISBLANK(JJ9),ISBLANK('01_results_input'!F68),ISBLANK('01_results_input'!G68)),"",IF(AND(JI9='01_results_input'!F68,JJ9='01_results_input'!G68),pts_group_toto+pts_group_exact_bonus,IF(OR(AND(JI9&gt;JJ9,'01_results_input'!F68&gt;'01_results_input'!G68),AND(JI9&lt;JJ9,'01_results_input'!F68&lt;'01_results_input'!G68),AND(JI9=JJ9,'01_results_input'!F68='01_results_input'!G68)),pts_group_toto,0)))</f>
      </c>
      <c r="MT9">
        <f>IF(OR(ISBLANK(JM9),ISBLANK(JN9),ISBLANK('01_results_input'!F69),ISBLANK('01_results_input'!G69)),"",IF(AND(JM9='01_results_input'!F69,JN9='01_results_input'!G69),pts_group_toto+pts_group_exact_bonus,IF(OR(AND(JM9&gt;JN9,'01_results_input'!F69&gt;'01_results_input'!G69),AND(JM9&lt;JN9,'01_results_input'!F69&lt;'01_results_input'!G69),AND(JM9=JN9,'01_results_input'!F69='01_results_input'!G69)),pts_group_toto,0)))</f>
      </c>
      <c r="MU9">
        <f>IF(OR(ISBLANK(JQ9),ISBLANK(JR9),ISBLANK('01_results_input'!F70),ISBLANK('01_results_input'!G70)),"",IF(AND(JQ9='01_results_input'!F70,JR9='01_results_input'!G70),pts_group_toto+pts_group_exact_bonus,IF(OR(AND(JQ9&gt;JR9,'01_results_input'!F70&gt;'01_results_input'!G70),AND(JQ9&lt;JR9,'01_results_input'!F70&lt;'01_results_input'!G70),AND(JQ9=JR9,'01_results_input'!F70='01_results_input'!G70)),pts_group_toto,0)))</f>
      </c>
      <c r="MV9">
        <f>IF(OR(ISBLANK(JU9),ISBLANK(JV9),ISBLANK('01_results_input'!F71),ISBLANK('01_results_input'!G71)),"",IF(AND(JU9='01_results_input'!F71,JV9='01_results_input'!G71),pts_group_toto+pts_group_exact_bonus,IF(OR(AND(JU9&gt;JV9,'01_results_input'!F71&gt;'01_results_input'!G71),AND(JU9&lt;JV9,'01_results_input'!F71&lt;'01_results_input'!G71),AND(JU9=JV9,'01_results_input'!F71='01_results_input'!G71)),pts_group_toto,0)))</f>
      </c>
      <c r="MW9">
        <f>IF(OR(ISBLANK(JY9),ISBLANK(JZ9),ISBLANK('01_results_input'!F72),ISBLANK('01_results_input'!G72)),"",IF(AND(JY9='01_results_input'!F72,JZ9='01_results_input'!G72),pts_group_toto+pts_group_exact_bonus,IF(OR(AND(JY9&gt;JZ9,'01_results_input'!F72&gt;'01_results_input'!G72),AND(JY9&lt;JZ9,'01_results_input'!F72&lt;'01_results_input'!G72),AND(JY9=JZ9,'01_results_input'!F72='01_results_input'!G72)),pts_group_toto,0)))</f>
      </c>
      <c r="MX9">
        <f>IF(OR(ISBLANK(KC9),ISBLANK(KD9),ISBLANK('01_results_input'!F73),ISBLANK('01_results_input'!G73)),"",IF(AND(KC9='01_results_input'!F73,KD9='01_results_input'!G73),pts_group_toto+pts_group_exact_bonus,IF(OR(AND(KC9&gt;KD9,'01_results_input'!F73&gt;'01_results_input'!G73),AND(KC9&lt;KD9,'01_results_input'!F73&lt;'01_results_input'!G73),AND(KC9=KD9,'01_results_input'!F73='01_results_input'!G73)),pts_group_toto,0)))</f>
      </c>
      <c r="MY9">
        <f>SUM(KE9:MX9)</f>
      </c>
    </row>
  </sheetData>
  <autoFilter ref="A1:KD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U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28" customWidth="1"/>
    <col min="2" max="2" width="18" customWidth="1"/>
    <col min="3" max="3" width="8" customWidth="1"/>
    <col min="4" max="5" width="6" customWidth="1"/>
    <col min="6" max="6" width="8" customWidth="1"/>
    <col min="7" max="8" width="6" customWidth="1"/>
    <col min="9" max="9" width="8" customWidth="1"/>
    <col min="10" max="11" width="6" customWidth="1"/>
    <col min="12" max="12" width="8" customWidth="1"/>
    <col min="13" max="14" width="6" customWidth="1"/>
    <col min="15" max="15" width="8" customWidth="1"/>
    <col min="16" max="17" width="6" customWidth="1"/>
    <col min="18" max="18" width="8" customWidth="1"/>
    <col min="19" max="20" width="6" customWidth="1"/>
    <col min="21" max="21" width="8" customWidth="1"/>
    <col min="22" max="23" width="6" customWidth="1"/>
    <col min="24" max="24" width="8" customWidth="1"/>
    <col min="25" max="26" width="6" customWidth="1"/>
    <col min="27" max="27" width="8" customWidth="1"/>
    <col min="28" max="29" width="6" customWidth="1"/>
    <col min="30" max="30" width="8" customWidth="1"/>
    <col min="31" max="32" width="6" customWidth="1"/>
    <col min="33" max="33" width="8" customWidth="1"/>
    <col min="34" max="35" width="6" customWidth="1"/>
    <col min="36" max="36" width="8" customWidth="1"/>
    <col min="37" max="38" width="6" customWidth="1"/>
    <col min="39" max="39" width="8" customWidth="1"/>
    <col min="40" max="41" width="6" customWidth="1"/>
    <col min="42" max="42" width="8" customWidth="1"/>
    <col min="43" max="44" width="6" customWidth="1"/>
    <col min="45" max="45" width="8" customWidth="1"/>
    <col min="46" max="47" width="6" customWidth="1"/>
    <col min="48" max="48" width="8" customWidth="1"/>
    <col min="49" max="50" width="6" customWidth="1"/>
    <col min="51" max="51" width="8" customWidth="1"/>
    <col min="52" max="53" width="6" customWidth="1"/>
    <col min="54" max="54" width="8" customWidth="1"/>
    <col min="55" max="56" width="6" customWidth="1"/>
    <col min="57" max="57" width="8" customWidth="1"/>
    <col min="58" max="59" width="6" customWidth="1"/>
    <col min="60" max="60" width="8" customWidth="1"/>
    <col min="61" max="62" width="6" customWidth="1"/>
    <col min="63" max="63" width="8" customWidth="1"/>
    <col min="64" max="65" width="6" customWidth="1"/>
    <col min="66" max="66" width="8" customWidth="1"/>
    <col min="67" max="68" width="6" customWidth="1"/>
    <col min="69" max="69" width="8" customWidth="1"/>
    <col min="70" max="71" width="6" customWidth="1"/>
    <col min="72" max="72" width="8" customWidth="1"/>
    <col min="73" max="74" width="6" customWidth="1"/>
    <col min="75" max="75" width="8" customWidth="1"/>
    <col min="76" max="77" width="6" customWidth="1"/>
    <col min="78" max="78" width="8" customWidth="1"/>
    <col min="79" max="80" width="6" customWidth="1"/>
    <col min="81" max="81" width="8" customWidth="1"/>
    <col min="82" max="83" width="6" customWidth="1"/>
    <col min="84" max="84" width="8" customWidth="1"/>
    <col min="85" max="86" width="6" customWidth="1"/>
    <col min="87" max="87" width="8" customWidth="1"/>
    <col min="88" max="89" width="6" customWidth="1"/>
    <col min="90" max="90" width="8" customWidth="1"/>
    <col min="91" max="92" width="6" customWidth="1"/>
    <col min="93" max="93" width="8" customWidth="1"/>
    <col min="94" max="95" width="6" customWidth="1"/>
    <col min="96" max="96" width="8" customWidth="1"/>
    <col min="97" max="98" width="6" customWidth="1"/>
    <col min="99" max="99" width="18" customWidth="1"/>
  </cols>
  <sheetData>
    <row r="1" spans="1:99" s="3" customFormat="1" x14ac:dyDescent="0.25">
      <c r="A1" s="3" t="s">
        <v>191</v>
      </c>
      <c r="B1" s="3" t="s">
        <v>192</v>
      </c>
      <c r="C1" s="3" t="s">
        <v>570</v>
      </c>
      <c r="D1" s="3" t="s">
        <v>571</v>
      </c>
      <c r="E1" s="3" t="s">
        <v>572</v>
      </c>
      <c r="F1" s="3" t="s">
        <v>573</v>
      </c>
      <c r="G1" s="3" t="s">
        <v>574</v>
      </c>
      <c r="H1" s="3" t="s">
        <v>575</v>
      </c>
      <c r="I1" s="3" t="s">
        <v>576</v>
      </c>
      <c r="J1" s="3" t="s">
        <v>577</v>
      </c>
      <c r="K1" s="3" t="s">
        <v>578</v>
      </c>
      <c r="L1" s="3" t="s">
        <v>579</v>
      </c>
      <c r="M1" s="3" t="s">
        <v>580</v>
      </c>
      <c r="N1" s="3" t="s">
        <v>581</v>
      </c>
      <c r="O1" s="3" t="s">
        <v>582</v>
      </c>
      <c r="P1" s="3" t="s">
        <v>583</v>
      </c>
      <c r="Q1" s="3" t="s">
        <v>584</v>
      </c>
      <c r="R1" s="3" t="s">
        <v>585</v>
      </c>
      <c r="S1" s="3" t="s">
        <v>586</v>
      </c>
      <c r="T1" s="3" t="s">
        <v>587</v>
      </c>
      <c r="U1" s="3" t="s">
        <v>588</v>
      </c>
      <c r="V1" s="3" t="s">
        <v>589</v>
      </c>
      <c r="W1" s="3" t="s">
        <v>590</v>
      </c>
      <c r="X1" s="3" t="s">
        <v>591</v>
      </c>
      <c r="Y1" s="3" t="s">
        <v>592</v>
      </c>
      <c r="Z1" s="3" t="s">
        <v>593</v>
      </c>
      <c r="AA1" s="3" t="s">
        <v>594</v>
      </c>
      <c r="AB1" s="3" t="s">
        <v>595</v>
      </c>
      <c r="AC1" s="3" t="s">
        <v>596</v>
      </c>
      <c r="AD1" s="3" t="s">
        <v>597</v>
      </c>
      <c r="AE1" s="3" t="s">
        <v>598</v>
      </c>
      <c r="AF1" s="3" t="s">
        <v>599</v>
      </c>
      <c r="AG1" s="3" t="s">
        <v>600</v>
      </c>
      <c r="AH1" s="3" t="s">
        <v>601</v>
      </c>
      <c r="AI1" s="3" t="s">
        <v>602</v>
      </c>
      <c r="AJ1" s="3" t="s">
        <v>603</v>
      </c>
      <c r="AK1" s="3" t="s">
        <v>604</v>
      </c>
      <c r="AL1" s="3" t="s">
        <v>605</v>
      </c>
      <c r="AM1" s="3" t="s">
        <v>606</v>
      </c>
      <c r="AN1" s="3" t="s">
        <v>607</v>
      </c>
      <c r="AO1" s="3" t="s">
        <v>608</v>
      </c>
      <c r="AP1" s="3" t="s">
        <v>609</v>
      </c>
      <c r="AQ1" s="3" t="s">
        <v>610</v>
      </c>
      <c r="AR1" s="3" t="s">
        <v>611</v>
      </c>
      <c r="AS1" s="3" t="s">
        <v>612</v>
      </c>
      <c r="AT1" s="3" t="s">
        <v>613</v>
      </c>
      <c r="AU1" s="3" t="s">
        <v>614</v>
      </c>
      <c r="AV1" s="3" t="s">
        <v>615</v>
      </c>
      <c r="AW1" s="3" t="s">
        <v>616</v>
      </c>
      <c r="AX1" s="3" t="s">
        <v>617</v>
      </c>
      <c r="AY1" s="3" t="s">
        <v>618</v>
      </c>
      <c r="AZ1" s="3" t="s">
        <v>619</v>
      </c>
      <c r="BA1" s="3" t="s">
        <v>620</v>
      </c>
      <c r="BB1" s="3" t="s">
        <v>621</v>
      </c>
      <c r="BC1" s="3" t="s">
        <v>622</v>
      </c>
      <c r="BD1" s="3" t="s">
        <v>623</v>
      </c>
      <c r="BE1" s="3" t="s">
        <v>624</v>
      </c>
      <c r="BF1" s="3" t="s">
        <v>625</v>
      </c>
      <c r="BG1" s="3" t="s">
        <v>626</v>
      </c>
      <c r="BH1" s="3" t="s">
        <v>627</v>
      </c>
      <c r="BI1" s="3" t="s">
        <v>628</v>
      </c>
      <c r="BJ1" s="3" t="s">
        <v>629</v>
      </c>
      <c r="BK1" s="3" t="s">
        <v>630</v>
      </c>
      <c r="BL1" s="3" t="s">
        <v>631</v>
      </c>
      <c r="BM1" s="3" t="s">
        <v>632</v>
      </c>
      <c r="BN1" s="3" t="s">
        <v>633</v>
      </c>
      <c r="BO1" s="3" t="s">
        <v>634</v>
      </c>
      <c r="BP1" s="3" t="s">
        <v>635</v>
      </c>
      <c r="BQ1" s="3" t="s">
        <v>636</v>
      </c>
      <c r="BR1" s="3" t="s">
        <v>637</v>
      </c>
      <c r="BS1" s="3" t="s">
        <v>638</v>
      </c>
      <c r="BT1" s="3" t="s">
        <v>639</v>
      </c>
      <c r="BU1" s="3" t="s">
        <v>640</v>
      </c>
      <c r="BV1" s="3" t="s">
        <v>641</v>
      </c>
      <c r="BW1" s="3" t="s">
        <v>642</v>
      </c>
      <c r="BX1" s="3" t="s">
        <v>643</v>
      </c>
      <c r="BY1" s="3" t="s">
        <v>644</v>
      </c>
      <c r="BZ1" s="3" t="s">
        <v>645</v>
      </c>
      <c r="CA1" s="3" t="s">
        <v>646</v>
      </c>
      <c r="CB1" s="3" t="s">
        <v>647</v>
      </c>
      <c r="CC1" s="3" t="s">
        <v>648</v>
      </c>
      <c r="CD1" s="3" t="s">
        <v>649</v>
      </c>
      <c r="CE1" s="3" t="s">
        <v>650</v>
      </c>
      <c r="CF1" s="3" t="s">
        <v>651</v>
      </c>
      <c r="CG1" s="3" t="s">
        <v>652</v>
      </c>
      <c r="CH1" s="3" t="s">
        <v>653</v>
      </c>
      <c r="CI1" s="3" t="s">
        <v>654</v>
      </c>
      <c r="CJ1" s="3" t="s">
        <v>655</v>
      </c>
      <c r="CK1" s="3" t="s">
        <v>656</v>
      </c>
      <c r="CL1" s="3" t="s">
        <v>657</v>
      </c>
      <c r="CM1" s="3" t="s">
        <v>658</v>
      </c>
      <c r="CN1" s="3" t="s">
        <v>659</v>
      </c>
      <c r="CO1" s="3" t="s">
        <v>660</v>
      </c>
      <c r="CP1" s="3" t="s">
        <v>661</v>
      </c>
      <c r="CQ1" s="3" t="s">
        <v>662</v>
      </c>
      <c r="CR1" s="3" t="s">
        <v>663</v>
      </c>
      <c r="CS1" s="3" t="s">
        <v>664</v>
      </c>
      <c r="CT1" s="3" t="s">
        <v>665</v>
      </c>
      <c r="CU1" s="3" t="s">
        <v>666</v>
      </c>
    </row>
    <row r="2" spans="1:98" x14ac:dyDescent="0.25">
      <c r="A2" t="s">
        <v>554</v>
      </c>
      <c r="B2" t="s">
        <v>555</v>
      </c>
      <c r="C2" t="s">
        <v>26</v>
      </c>
      <c r="D2">
        <v>2</v>
      </c>
      <c r="E2">
        <v>1</v>
      </c>
      <c r="F2" t="s">
        <v>37</v>
      </c>
      <c r="G2">
        <v>2</v>
      </c>
      <c r="H2">
        <v>1</v>
      </c>
      <c r="I2" t="s">
        <v>48</v>
      </c>
      <c r="J2">
        <v>2</v>
      </c>
      <c r="K2">
        <v>1</v>
      </c>
      <c r="L2" t="s">
        <v>59</v>
      </c>
      <c r="M2">
        <v>2</v>
      </c>
      <c r="N2">
        <v>1</v>
      </c>
      <c r="O2" t="s">
        <v>70</v>
      </c>
      <c r="P2">
        <v>2</v>
      </c>
      <c r="Q2">
        <v>1</v>
      </c>
      <c r="R2" t="s">
        <v>81</v>
      </c>
      <c r="S2">
        <v>2</v>
      </c>
      <c r="T2">
        <v>1</v>
      </c>
      <c r="U2" t="s">
        <v>92</v>
      </c>
      <c r="V2">
        <v>2</v>
      </c>
      <c r="W2">
        <v>1</v>
      </c>
      <c r="X2" t="s">
        <v>103</v>
      </c>
      <c r="Y2">
        <v>2</v>
      </c>
      <c r="Z2">
        <v>1</v>
      </c>
      <c r="AA2" t="s">
        <v>114</v>
      </c>
      <c r="AB2">
        <v>2</v>
      </c>
      <c r="AC2">
        <v>1</v>
      </c>
      <c r="AD2" t="s">
        <v>125</v>
      </c>
      <c r="AE2">
        <v>2</v>
      </c>
      <c r="AF2">
        <v>1</v>
      </c>
      <c r="AG2" t="s">
        <v>136</v>
      </c>
      <c r="AH2">
        <v>2</v>
      </c>
      <c r="AI2">
        <v>1</v>
      </c>
      <c r="AJ2" t="s">
        <v>147</v>
      </c>
      <c r="AK2">
        <v>2</v>
      </c>
      <c r="AL2">
        <v>1</v>
      </c>
      <c r="AM2" t="s">
        <v>26</v>
      </c>
      <c r="AN2">
        <v>2</v>
      </c>
      <c r="AO2">
        <v>1</v>
      </c>
      <c r="AP2" t="s">
        <v>37</v>
      </c>
      <c r="AQ2">
        <v>2</v>
      </c>
      <c r="AR2">
        <v>1</v>
      </c>
      <c r="AS2" t="s">
        <v>48</v>
      </c>
      <c r="AT2">
        <v>2</v>
      </c>
      <c r="AU2">
        <v>1</v>
      </c>
      <c r="AV2" t="s">
        <v>59</v>
      </c>
      <c r="AW2">
        <v>2</v>
      </c>
      <c r="AX2">
        <v>1</v>
      </c>
      <c r="AY2" t="s">
        <v>26</v>
      </c>
      <c r="AZ2">
        <v>1</v>
      </c>
      <c r="BA2">
        <v>0</v>
      </c>
      <c r="BB2" t="s">
        <v>48</v>
      </c>
      <c r="BC2">
        <v>1</v>
      </c>
      <c r="BD2">
        <v>0</v>
      </c>
      <c r="BE2" t="s">
        <v>70</v>
      </c>
      <c r="BF2">
        <v>1</v>
      </c>
      <c r="BG2">
        <v>0</v>
      </c>
      <c r="BH2" t="s">
        <v>92</v>
      </c>
      <c r="BI2">
        <v>1</v>
      </c>
      <c r="BJ2">
        <v>0</v>
      </c>
      <c r="BK2" t="s">
        <v>1</v>
      </c>
      <c r="BN2" t="s">
        <v>1</v>
      </c>
      <c r="BQ2" t="s">
        <v>1</v>
      </c>
      <c r="BT2" t="s">
        <v>1</v>
      </c>
      <c r="BW2" t="s">
        <v>1</v>
      </c>
      <c r="BZ2" t="s">
        <v>1</v>
      </c>
      <c r="CC2" t="s">
        <v>1</v>
      </c>
      <c r="CF2" t="s">
        <v>1</v>
      </c>
      <c r="CI2" t="s">
        <v>1</v>
      </c>
      <c r="CL2" t="s">
        <v>1</v>
      </c>
      <c r="CO2" t="s">
        <v>1</v>
      </c>
      <c r="CR2" t="s">
        <v>1</v>
      </c>
    </row>
    <row r="3" spans="1:98" x14ac:dyDescent="0.25">
      <c r="A3" t="s">
        <v>556</v>
      </c>
      <c r="B3" t="s">
        <v>557</v>
      </c>
      <c r="C3" t="s">
        <v>26</v>
      </c>
      <c r="D3">
        <v>2</v>
      </c>
      <c r="E3">
        <v>1</v>
      </c>
      <c r="F3" t="s">
        <v>37</v>
      </c>
      <c r="G3">
        <v>2</v>
      </c>
      <c r="H3">
        <v>1</v>
      </c>
      <c r="I3" t="s">
        <v>48</v>
      </c>
      <c r="J3">
        <v>2</v>
      </c>
      <c r="K3">
        <v>1</v>
      </c>
      <c r="L3" t="s">
        <v>59</v>
      </c>
      <c r="M3">
        <v>2</v>
      </c>
      <c r="N3">
        <v>1</v>
      </c>
      <c r="O3" t="s">
        <v>70</v>
      </c>
      <c r="P3">
        <v>2</v>
      </c>
      <c r="Q3">
        <v>1</v>
      </c>
      <c r="R3" t="s">
        <v>81</v>
      </c>
      <c r="S3">
        <v>2</v>
      </c>
      <c r="T3">
        <v>1</v>
      </c>
      <c r="U3" t="s">
        <v>92</v>
      </c>
      <c r="V3">
        <v>2</v>
      </c>
      <c r="W3">
        <v>1</v>
      </c>
      <c r="X3" t="s">
        <v>103</v>
      </c>
      <c r="Y3">
        <v>2</v>
      </c>
      <c r="Z3">
        <v>1</v>
      </c>
      <c r="AA3" t="s">
        <v>114</v>
      </c>
      <c r="AB3">
        <v>2</v>
      </c>
      <c r="AC3">
        <v>1</v>
      </c>
      <c r="AD3" t="s">
        <v>125</v>
      </c>
      <c r="AE3">
        <v>2</v>
      </c>
      <c r="AF3">
        <v>1</v>
      </c>
      <c r="AG3" t="s">
        <v>136</v>
      </c>
      <c r="AH3">
        <v>2</v>
      </c>
      <c r="AI3">
        <v>1</v>
      </c>
      <c r="AJ3" t="s">
        <v>147</v>
      </c>
      <c r="AK3">
        <v>2</v>
      </c>
      <c r="AL3">
        <v>1</v>
      </c>
      <c r="AM3" t="s">
        <v>26</v>
      </c>
      <c r="AN3">
        <v>2</v>
      </c>
      <c r="AO3">
        <v>1</v>
      </c>
      <c r="AP3" t="s">
        <v>37</v>
      </c>
      <c r="AQ3">
        <v>2</v>
      </c>
      <c r="AR3">
        <v>1</v>
      </c>
      <c r="AS3" t="s">
        <v>48</v>
      </c>
      <c r="AT3">
        <v>2</v>
      </c>
      <c r="AU3">
        <v>1</v>
      </c>
      <c r="AV3" t="s">
        <v>59</v>
      </c>
      <c r="AW3">
        <v>2</v>
      </c>
      <c r="AX3">
        <v>1</v>
      </c>
      <c r="AY3" t="s">
        <v>26</v>
      </c>
      <c r="AZ3">
        <v>1</v>
      </c>
      <c r="BA3">
        <v>0</v>
      </c>
      <c r="BB3" t="s">
        <v>48</v>
      </c>
      <c r="BC3">
        <v>1</v>
      </c>
      <c r="BD3">
        <v>0</v>
      </c>
      <c r="BE3" t="s">
        <v>70</v>
      </c>
      <c r="BF3">
        <v>1</v>
      </c>
      <c r="BG3">
        <v>0</v>
      </c>
      <c r="BH3" t="s">
        <v>92</v>
      </c>
      <c r="BI3">
        <v>1</v>
      </c>
      <c r="BJ3">
        <v>0</v>
      </c>
      <c r="BK3" t="s">
        <v>1</v>
      </c>
      <c r="BN3" t="s">
        <v>1</v>
      </c>
      <c r="BQ3" t="s">
        <v>1</v>
      </c>
      <c r="BT3" t="s">
        <v>1</v>
      </c>
      <c r="BW3" t="s">
        <v>1</v>
      </c>
      <c r="BZ3" t="s">
        <v>1</v>
      </c>
      <c r="CC3" t="s">
        <v>1</v>
      </c>
      <c r="CF3" t="s">
        <v>1</v>
      </c>
      <c r="CI3" t="s">
        <v>1</v>
      </c>
      <c r="CL3" t="s">
        <v>1</v>
      </c>
      <c r="CO3" t="s">
        <v>1</v>
      </c>
      <c r="CR3" t="s">
        <v>1</v>
      </c>
    </row>
    <row r="4" spans="1:98" x14ac:dyDescent="0.25">
      <c r="A4" t="s">
        <v>558</v>
      </c>
      <c r="B4" t="s">
        <v>559</v>
      </c>
      <c r="C4" t="s">
        <v>26</v>
      </c>
      <c r="D4">
        <v>2</v>
      </c>
      <c r="E4">
        <v>1</v>
      </c>
      <c r="F4" t="s">
        <v>37</v>
      </c>
      <c r="G4">
        <v>2</v>
      </c>
      <c r="H4">
        <v>1</v>
      </c>
      <c r="I4" t="s">
        <v>48</v>
      </c>
      <c r="J4">
        <v>2</v>
      </c>
      <c r="K4">
        <v>1</v>
      </c>
      <c r="L4" t="s">
        <v>59</v>
      </c>
      <c r="M4">
        <v>2</v>
      </c>
      <c r="N4">
        <v>1</v>
      </c>
      <c r="O4" t="s">
        <v>70</v>
      </c>
      <c r="P4">
        <v>2</v>
      </c>
      <c r="Q4">
        <v>1</v>
      </c>
      <c r="R4" t="s">
        <v>81</v>
      </c>
      <c r="S4">
        <v>2</v>
      </c>
      <c r="T4">
        <v>1</v>
      </c>
      <c r="U4" t="s">
        <v>92</v>
      </c>
      <c r="V4">
        <v>2</v>
      </c>
      <c r="W4">
        <v>1</v>
      </c>
      <c r="X4" t="s">
        <v>103</v>
      </c>
      <c r="Y4">
        <v>2</v>
      </c>
      <c r="Z4">
        <v>1</v>
      </c>
      <c r="AA4" t="s">
        <v>114</v>
      </c>
      <c r="AB4">
        <v>2</v>
      </c>
      <c r="AC4">
        <v>1</v>
      </c>
      <c r="AD4" t="s">
        <v>125</v>
      </c>
      <c r="AE4">
        <v>2</v>
      </c>
      <c r="AF4">
        <v>1</v>
      </c>
      <c r="AG4" t="s">
        <v>136</v>
      </c>
      <c r="AH4">
        <v>2</v>
      </c>
      <c r="AI4">
        <v>1</v>
      </c>
      <c r="AJ4" t="s">
        <v>147</v>
      </c>
      <c r="AK4">
        <v>2</v>
      </c>
      <c r="AL4">
        <v>1</v>
      </c>
      <c r="AM4" t="s">
        <v>26</v>
      </c>
      <c r="AN4">
        <v>2</v>
      </c>
      <c r="AO4">
        <v>1</v>
      </c>
      <c r="AP4" t="s">
        <v>37</v>
      </c>
      <c r="AQ4">
        <v>2</v>
      </c>
      <c r="AR4">
        <v>1</v>
      </c>
      <c r="AS4" t="s">
        <v>48</v>
      </c>
      <c r="AT4">
        <v>2</v>
      </c>
      <c r="AU4">
        <v>1</v>
      </c>
      <c r="AV4" t="s">
        <v>59</v>
      </c>
      <c r="AW4">
        <v>2</v>
      </c>
      <c r="AX4">
        <v>1</v>
      </c>
      <c r="AY4" t="s">
        <v>26</v>
      </c>
      <c r="AZ4">
        <v>1</v>
      </c>
      <c r="BA4">
        <v>0</v>
      </c>
      <c r="BB4" t="s">
        <v>48</v>
      </c>
      <c r="BC4">
        <v>1</v>
      </c>
      <c r="BD4">
        <v>0</v>
      </c>
      <c r="BE4" t="s">
        <v>70</v>
      </c>
      <c r="BF4">
        <v>1</v>
      </c>
      <c r="BG4">
        <v>0</v>
      </c>
      <c r="BH4" t="s">
        <v>92</v>
      </c>
      <c r="BI4">
        <v>1</v>
      </c>
      <c r="BJ4">
        <v>0</v>
      </c>
      <c r="BK4" t="s">
        <v>1</v>
      </c>
      <c r="BN4" t="s">
        <v>1</v>
      </c>
      <c r="BQ4" t="s">
        <v>1</v>
      </c>
      <c r="BT4" t="s">
        <v>1</v>
      </c>
      <c r="BW4" t="s">
        <v>1</v>
      </c>
      <c r="BZ4" t="s">
        <v>1</v>
      </c>
      <c r="CC4" t="s">
        <v>1</v>
      </c>
      <c r="CF4" t="s">
        <v>1</v>
      </c>
      <c r="CI4" t="s">
        <v>1</v>
      </c>
      <c r="CL4" t="s">
        <v>1</v>
      </c>
      <c r="CO4" t="s">
        <v>1</v>
      </c>
      <c r="CR4" t="s">
        <v>1</v>
      </c>
    </row>
    <row r="5" spans="1:98" x14ac:dyDescent="0.25">
      <c r="A5" t="s">
        <v>560</v>
      </c>
      <c r="B5" t="s">
        <v>561</v>
      </c>
      <c r="C5" t="s">
        <v>26</v>
      </c>
      <c r="D5">
        <v>2</v>
      </c>
      <c r="E5">
        <v>1</v>
      </c>
      <c r="F5" t="s">
        <v>38</v>
      </c>
      <c r="G5">
        <v>2</v>
      </c>
      <c r="H5">
        <v>1</v>
      </c>
      <c r="I5" t="s">
        <v>48</v>
      </c>
      <c r="J5">
        <v>2</v>
      </c>
      <c r="K5">
        <v>1</v>
      </c>
      <c r="L5" t="s">
        <v>60</v>
      </c>
      <c r="M5">
        <v>2</v>
      </c>
      <c r="N5">
        <v>1</v>
      </c>
      <c r="O5" t="s">
        <v>70</v>
      </c>
      <c r="P5">
        <v>2</v>
      </c>
      <c r="Q5">
        <v>1</v>
      </c>
      <c r="R5" t="s">
        <v>82</v>
      </c>
      <c r="S5">
        <v>2</v>
      </c>
      <c r="T5">
        <v>1</v>
      </c>
      <c r="U5" t="s">
        <v>92</v>
      </c>
      <c r="V5">
        <v>2</v>
      </c>
      <c r="W5">
        <v>1</v>
      </c>
      <c r="X5" t="s">
        <v>104</v>
      </c>
      <c r="Y5">
        <v>2</v>
      </c>
      <c r="Z5">
        <v>1</v>
      </c>
      <c r="AA5" t="s">
        <v>114</v>
      </c>
      <c r="AB5">
        <v>2</v>
      </c>
      <c r="AC5">
        <v>1</v>
      </c>
      <c r="AD5" t="s">
        <v>126</v>
      </c>
      <c r="AE5">
        <v>2</v>
      </c>
      <c r="AF5">
        <v>1</v>
      </c>
      <c r="AG5" t="s">
        <v>136</v>
      </c>
      <c r="AH5">
        <v>2</v>
      </c>
      <c r="AI5">
        <v>1</v>
      </c>
      <c r="AJ5" t="s">
        <v>148</v>
      </c>
      <c r="AK5">
        <v>2</v>
      </c>
      <c r="AL5">
        <v>1</v>
      </c>
      <c r="AM5" t="s">
        <v>26</v>
      </c>
      <c r="AN5">
        <v>2</v>
      </c>
      <c r="AO5">
        <v>1</v>
      </c>
      <c r="AP5" t="s">
        <v>38</v>
      </c>
      <c r="AQ5">
        <v>2</v>
      </c>
      <c r="AR5">
        <v>1</v>
      </c>
      <c r="AS5" t="s">
        <v>48</v>
      </c>
      <c r="AT5">
        <v>2</v>
      </c>
      <c r="AU5">
        <v>1</v>
      </c>
      <c r="AV5" t="s">
        <v>60</v>
      </c>
      <c r="AW5">
        <v>2</v>
      </c>
      <c r="AX5">
        <v>1</v>
      </c>
      <c r="AY5" t="s">
        <v>1</v>
      </c>
      <c r="BB5" t="s">
        <v>1</v>
      </c>
      <c r="BE5" t="s">
        <v>1</v>
      </c>
      <c r="BH5" t="s">
        <v>1</v>
      </c>
      <c r="BK5" t="s">
        <v>1</v>
      </c>
      <c r="BN5" t="s">
        <v>1</v>
      </c>
      <c r="BQ5" t="s">
        <v>1</v>
      </c>
      <c r="BT5" t="s">
        <v>1</v>
      </c>
      <c r="BW5" t="s">
        <v>1</v>
      </c>
      <c r="BZ5" t="s">
        <v>1</v>
      </c>
      <c r="CC5" t="s">
        <v>1</v>
      </c>
      <c r="CF5" t="s">
        <v>1</v>
      </c>
      <c r="CI5" t="s">
        <v>1</v>
      </c>
      <c r="CL5" t="s">
        <v>1</v>
      </c>
      <c r="CO5" t="s">
        <v>1</v>
      </c>
      <c r="CR5" t="s">
        <v>1</v>
      </c>
    </row>
    <row r="6" spans="1:98" x14ac:dyDescent="0.25">
      <c r="A6" t="s">
        <v>562</v>
      </c>
      <c r="B6" t="s">
        <v>563</v>
      </c>
      <c r="C6" t="s">
        <v>27</v>
      </c>
      <c r="D6">
        <v>2</v>
      </c>
      <c r="E6">
        <v>1</v>
      </c>
      <c r="F6" t="s">
        <v>38</v>
      </c>
      <c r="G6">
        <v>2</v>
      </c>
      <c r="H6">
        <v>1</v>
      </c>
      <c r="I6" t="s">
        <v>49</v>
      </c>
      <c r="J6">
        <v>2</v>
      </c>
      <c r="K6">
        <v>1</v>
      </c>
      <c r="L6" t="s">
        <v>60</v>
      </c>
      <c r="M6">
        <v>2</v>
      </c>
      <c r="N6">
        <v>1</v>
      </c>
      <c r="O6" t="s">
        <v>71</v>
      </c>
      <c r="P6">
        <v>2</v>
      </c>
      <c r="Q6">
        <v>1</v>
      </c>
      <c r="R6" t="s">
        <v>82</v>
      </c>
      <c r="S6">
        <v>2</v>
      </c>
      <c r="T6">
        <v>1</v>
      </c>
      <c r="U6" t="s">
        <v>93</v>
      </c>
      <c r="V6">
        <v>2</v>
      </c>
      <c r="W6">
        <v>1</v>
      </c>
      <c r="X6" t="s">
        <v>104</v>
      </c>
      <c r="Y6">
        <v>2</v>
      </c>
      <c r="Z6">
        <v>1</v>
      </c>
      <c r="AA6" t="s">
        <v>115</v>
      </c>
      <c r="AB6">
        <v>2</v>
      </c>
      <c r="AC6">
        <v>1</v>
      </c>
      <c r="AD6" t="s">
        <v>126</v>
      </c>
      <c r="AE6">
        <v>2</v>
      </c>
      <c r="AF6">
        <v>1</v>
      </c>
      <c r="AG6" t="s">
        <v>137</v>
      </c>
      <c r="AH6">
        <v>2</v>
      </c>
      <c r="AI6">
        <v>1</v>
      </c>
      <c r="AJ6" t="s">
        <v>148</v>
      </c>
      <c r="AK6">
        <v>2</v>
      </c>
      <c r="AL6">
        <v>1</v>
      </c>
      <c r="AM6" t="s">
        <v>27</v>
      </c>
      <c r="AN6">
        <v>2</v>
      </c>
      <c r="AO6">
        <v>1</v>
      </c>
      <c r="AP6" t="s">
        <v>38</v>
      </c>
      <c r="AQ6">
        <v>2</v>
      </c>
      <c r="AR6">
        <v>1</v>
      </c>
      <c r="AS6" t="s">
        <v>49</v>
      </c>
      <c r="AT6">
        <v>2</v>
      </c>
      <c r="AU6">
        <v>1</v>
      </c>
      <c r="AV6" t="s">
        <v>60</v>
      </c>
      <c r="AW6">
        <v>2</v>
      </c>
      <c r="AX6">
        <v>1</v>
      </c>
      <c r="AY6" t="s">
        <v>1</v>
      </c>
      <c r="BB6" t="s">
        <v>1</v>
      </c>
      <c r="BE6" t="s">
        <v>1</v>
      </c>
      <c r="BH6" t="s">
        <v>1</v>
      </c>
      <c r="BK6" t="s">
        <v>1</v>
      </c>
      <c r="BN6" t="s">
        <v>1</v>
      </c>
      <c r="BQ6" t="s">
        <v>1</v>
      </c>
      <c r="BT6" t="s">
        <v>1</v>
      </c>
      <c r="BW6" t="s">
        <v>1</v>
      </c>
      <c r="BZ6" t="s">
        <v>1</v>
      </c>
      <c r="CC6" t="s">
        <v>1</v>
      </c>
      <c r="CF6" t="s">
        <v>1</v>
      </c>
      <c r="CI6" t="s">
        <v>1</v>
      </c>
      <c r="CL6" t="s">
        <v>1</v>
      </c>
      <c r="CO6" t="s">
        <v>1</v>
      </c>
      <c r="CR6" t="s">
        <v>1</v>
      </c>
    </row>
    <row r="7" spans="1:98" x14ac:dyDescent="0.25">
      <c r="A7" t="s">
        <v>564</v>
      </c>
      <c r="B7" t="s">
        <v>565</v>
      </c>
      <c r="C7" t="s">
        <v>27</v>
      </c>
      <c r="D7">
        <v>2</v>
      </c>
      <c r="E7">
        <v>1</v>
      </c>
      <c r="F7" t="s">
        <v>38</v>
      </c>
      <c r="G7">
        <v>2</v>
      </c>
      <c r="H7">
        <v>1</v>
      </c>
      <c r="I7" t="s">
        <v>49</v>
      </c>
      <c r="J7">
        <v>2</v>
      </c>
      <c r="K7">
        <v>1</v>
      </c>
      <c r="L7" t="s">
        <v>60</v>
      </c>
      <c r="M7">
        <v>2</v>
      </c>
      <c r="N7">
        <v>1</v>
      </c>
      <c r="O7" t="s">
        <v>71</v>
      </c>
      <c r="P7">
        <v>2</v>
      </c>
      <c r="Q7">
        <v>1</v>
      </c>
      <c r="R7" t="s">
        <v>82</v>
      </c>
      <c r="S7">
        <v>2</v>
      </c>
      <c r="T7">
        <v>1</v>
      </c>
      <c r="U7" t="s">
        <v>93</v>
      </c>
      <c r="V7">
        <v>2</v>
      </c>
      <c r="W7">
        <v>1</v>
      </c>
      <c r="X7" t="s">
        <v>104</v>
      </c>
      <c r="Y7">
        <v>2</v>
      </c>
      <c r="Z7">
        <v>1</v>
      </c>
      <c r="AA7" t="s">
        <v>115</v>
      </c>
      <c r="AB7">
        <v>2</v>
      </c>
      <c r="AC7">
        <v>1</v>
      </c>
      <c r="AD7" t="s">
        <v>126</v>
      </c>
      <c r="AE7">
        <v>2</v>
      </c>
      <c r="AF7">
        <v>1</v>
      </c>
      <c r="AG7" t="s">
        <v>137</v>
      </c>
      <c r="AH7">
        <v>2</v>
      </c>
      <c r="AI7">
        <v>1</v>
      </c>
      <c r="AJ7" t="s">
        <v>148</v>
      </c>
      <c r="AK7">
        <v>2</v>
      </c>
      <c r="AL7">
        <v>1</v>
      </c>
      <c r="AM7" t="s">
        <v>27</v>
      </c>
      <c r="AN7">
        <v>2</v>
      </c>
      <c r="AO7">
        <v>1</v>
      </c>
      <c r="AP7" t="s">
        <v>38</v>
      </c>
      <c r="AQ7">
        <v>2</v>
      </c>
      <c r="AR7">
        <v>1</v>
      </c>
      <c r="AS7" t="s">
        <v>49</v>
      </c>
      <c r="AT7">
        <v>2</v>
      </c>
      <c r="AU7">
        <v>1</v>
      </c>
      <c r="AV7" t="s">
        <v>60</v>
      </c>
      <c r="AW7">
        <v>2</v>
      </c>
      <c r="AX7">
        <v>1</v>
      </c>
      <c r="AY7" t="s">
        <v>1</v>
      </c>
      <c r="BB7" t="s">
        <v>1</v>
      </c>
      <c r="BE7" t="s">
        <v>1</v>
      </c>
      <c r="BH7" t="s">
        <v>1</v>
      </c>
      <c r="BK7" t="s">
        <v>1</v>
      </c>
      <c r="BN7" t="s">
        <v>1</v>
      </c>
      <c r="BQ7" t="s">
        <v>1</v>
      </c>
      <c r="BT7" t="s">
        <v>1</v>
      </c>
      <c r="BW7" t="s">
        <v>1</v>
      </c>
      <c r="BZ7" t="s">
        <v>1</v>
      </c>
      <c r="CC7" t="s">
        <v>1</v>
      </c>
      <c r="CF7" t="s">
        <v>1</v>
      </c>
      <c r="CI7" t="s">
        <v>1</v>
      </c>
      <c r="CL7" t="s">
        <v>1</v>
      </c>
      <c r="CO7" t="s">
        <v>1</v>
      </c>
      <c r="CR7" t="s">
        <v>1</v>
      </c>
    </row>
    <row r="8" spans="1:98" x14ac:dyDescent="0.25">
      <c r="A8" t="s">
        <v>566</v>
      </c>
      <c r="B8" t="s">
        <v>567</v>
      </c>
      <c r="C8" t="s">
        <v>26</v>
      </c>
      <c r="D8">
        <v>2</v>
      </c>
      <c r="E8">
        <v>1</v>
      </c>
      <c r="F8" t="s">
        <v>38</v>
      </c>
      <c r="G8">
        <v>2</v>
      </c>
      <c r="H8">
        <v>1</v>
      </c>
      <c r="I8" t="s">
        <v>48</v>
      </c>
      <c r="J8">
        <v>2</v>
      </c>
      <c r="K8">
        <v>1</v>
      </c>
      <c r="L8" t="s">
        <v>60</v>
      </c>
      <c r="M8">
        <v>2</v>
      </c>
      <c r="N8">
        <v>1</v>
      </c>
      <c r="O8" t="s">
        <v>70</v>
      </c>
      <c r="P8">
        <v>2</v>
      </c>
      <c r="Q8">
        <v>1</v>
      </c>
      <c r="R8" t="s">
        <v>82</v>
      </c>
      <c r="S8">
        <v>2</v>
      </c>
      <c r="T8">
        <v>1</v>
      </c>
      <c r="U8" t="s">
        <v>92</v>
      </c>
      <c r="V8">
        <v>2</v>
      </c>
      <c r="W8">
        <v>1</v>
      </c>
      <c r="X8" t="s">
        <v>104</v>
      </c>
      <c r="Y8">
        <v>2</v>
      </c>
      <c r="Z8">
        <v>1</v>
      </c>
      <c r="AA8" t="s">
        <v>114</v>
      </c>
      <c r="AB8">
        <v>2</v>
      </c>
      <c r="AC8">
        <v>1</v>
      </c>
      <c r="AD8" t="s">
        <v>126</v>
      </c>
      <c r="AE8">
        <v>2</v>
      </c>
      <c r="AF8">
        <v>1</v>
      </c>
      <c r="AG8" t="s">
        <v>136</v>
      </c>
      <c r="AH8">
        <v>2</v>
      </c>
      <c r="AI8">
        <v>1</v>
      </c>
      <c r="AJ8" t="s">
        <v>148</v>
      </c>
      <c r="AK8">
        <v>2</v>
      </c>
      <c r="AL8">
        <v>1</v>
      </c>
      <c r="AM8" t="s">
        <v>26</v>
      </c>
      <c r="AN8">
        <v>2</v>
      </c>
      <c r="AO8">
        <v>1</v>
      </c>
      <c r="AP8" t="s">
        <v>38</v>
      </c>
      <c r="AQ8">
        <v>2</v>
      </c>
      <c r="AR8">
        <v>1</v>
      </c>
      <c r="AS8" t="s">
        <v>48</v>
      </c>
      <c r="AT8">
        <v>2</v>
      </c>
      <c r="AU8">
        <v>1</v>
      </c>
      <c r="AV8" t="s">
        <v>60</v>
      </c>
      <c r="AW8">
        <v>2</v>
      </c>
      <c r="AX8">
        <v>1</v>
      </c>
      <c r="AY8" t="s">
        <v>1</v>
      </c>
      <c r="BB8" t="s">
        <v>1</v>
      </c>
      <c r="BE8" t="s">
        <v>1</v>
      </c>
      <c r="BH8" t="s">
        <v>1</v>
      </c>
      <c r="BK8" t="s">
        <v>1</v>
      </c>
      <c r="BN8" t="s">
        <v>1</v>
      </c>
      <c r="BQ8" t="s">
        <v>1</v>
      </c>
      <c r="BT8" t="s">
        <v>1</v>
      </c>
      <c r="BW8" t="s">
        <v>1</v>
      </c>
      <c r="BZ8" t="s">
        <v>1</v>
      </c>
      <c r="CC8" t="s">
        <v>1</v>
      </c>
      <c r="CF8" t="s">
        <v>1</v>
      </c>
      <c r="CI8" t="s">
        <v>1</v>
      </c>
      <c r="CL8" t="s">
        <v>1</v>
      </c>
      <c r="CO8" t="s">
        <v>1</v>
      </c>
      <c r="CR8" t="s">
        <v>1</v>
      </c>
    </row>
    <row r="9" spans="1:98" x14ac:dyDescent="0.25">
      <c r="A9" t="s">
        <v>568</v>
      </c>
      <c r="B9" t="s">
        <v>569</v>
      </c>
      <c r="C9" t="s">
        <v>30</v>
      </c>
      <c r="D9">
        <v>2</v>
      </c>
      <c r="E9">
        <v>1</v>
      </c>
      <c r="F9" t="s">
        <v>38</v>
      </c>
      <c r="G9">
        <v>2</v>
      </c>
      <c r="H9">
        <v>1</v>
      </c>
      <c r="I9" t="s">
        <v>51</v>
      </c>
      <c r="J9">
        <v>2</v>
      </c>
      <c r="K9">
        <v>1</v>
      </c>
      <c r="L9" t="s">
        <v>60</v>
      </c>
      <c r="M9">
        <v>2</v>
      </c>
      <c r="N9">
        <v>1</v>
      </c>
      <c r="O9" t="s">
        <v>73</v>
      </c>
      <c r="P9">
        <v>2</v>
      </c>
      <c r="Q9">
        <v>1</v>
      </c>
      <c r="R9" t="s">
        <v>81</v>
      </c>
      <c r="S9">
        <v>2</v>
      </c>
      <c r="T9">
        <v>1</v>
      </c>
      <c r="U9" t="s">
        <v>92</v>
      </c>
      <c r="V9">
        <v>2</v>
      </c>
      <c r="W9">
        <v>1</v>
      </c>
      <c r="X9" t="s">
        <v>103</v>
      </c>
      <c r="Y9">
        <v>2</v>
      </c>
      <c r="Z9">
        <v>1</v>
      </c>
      <c r="AA9" t="s">
        <v>118</v>
      </c>
      <c r="AB9">
        <v>2</v>
      </c>
      <c r="AC9">
        <v>1</v>
      </c>
      <c r="AD9" t="s">
        <v>126</v>
      </c>
      <c r="AE9">
        <v>2</v>
      </c>
      <c r="AF9">
        <v>1</v>
      </c>
      <c r="AG9" t="s">
        <v>139</v>
      </c>
      <c r="AH9">
        <v>2</v>
      </c>
      <c r="AI9">
        <v>1</v>
      </c>
      <c r="AJ9" t="s">
        <v>147</v>
      </c>
      <c r="AK9">
        <v>2</v>
      </c>
      <c r="AL9">
        <v>1</v>
      </c>
      <c r="AM9" t="s">
        <v>30</v>
      </c>
      <c r="AN9">
        <v>2</v>
      </c>
      <c r="AO9">
        <v>1</v>
      </c>
      <c r="AP9" t="s">
        <v>37</v>
      </c>
      <c r="AQ9">
        <v>2</v>
      </c>
      <c r="AR9">
        <v>1</v>
      </c>
      <c r="AS9" t="s">
        <v>49</v>
      </c>
      <c r="AT9">
        <v>2</v>
      </c>
      <c r="AU9">
        <v>1</v>
      </c>
      <c r="AV9" t="s">
        <v>62</v>
      </c>
      <c r="AW9">
        <v>2</v>
      </c>
      <c r="AX9">
        <v>1</v>
      </c>
      <c r="AY9" t="s">
        <v>1</v>
      </c>
      <c r="BB9" t="s">
        <v>1</v>
      </c>
      <c r="BE9" t="s">
        <v>1</v>
      </c>
      <c r="BH9" t="s">
        <v>1</v>
      </c>
      <c r="BK9" t="s">
        <v>1</v>
      </c>
      <c r="BN9" t="s">
        <v>1</v>
      </c>
      <c r="BQ9" t="s">
        <v>1</v>
      </c>
      <c r="BT9" t="s">
        <v>1</v>
      </c>
      <c r="BW9" t="s">
        <v>1</v>
      </c>
      <c r="BZ9" t="s">
        <v>1</v>
      </c>
      <c r="CC9" t="s">
        <v>1</v>
      </c>
      <c r="CF9" t="s">
        <v>1</v>
      </c>
      <c r="CI9" t="s">
        <v>1</v>
      </c>
      <c r="CL9" t="s">
        <v>1</v>
      </c>
      <c r="CO9" t="s">
        <v>1</v>
      </c>
      <c r="CR9" t="s">
        <v>1</v>
      </c>
    </row>
  </sheetData>
  <autoFilter ref="A1:CT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28" customWidth="1"/>
    <col min="2" max="2" width="18" customWidth="1"/>
    <col min="3" max="12" width="14" customWidth="1"/>
    <col min="13" max="13" width="16" customWidth="1"/>
  </cols>
  <sheetData>
    <row r="1" spans="1:13" s="7" customFormat="1" x14ac:dyDescent="0.25">
      <c r="A1" s="7" t="s">
        <v>191</v>
      </c>
      <c r="B1" s="7" t="s">
        <v>192</v>
      </c>
      <c r="C1" s="7" t="s">
        <v>667</v>
      </c>
      <c r="D1" s="7" t="s">
        <v>668</v>
      </c>
      <c r="E1" s="7" t="s">
        <v>669</v>
      </c>
      <c r="F1" s="7" t="s">
        <v>182</v>
      </c>
      <c r="G1" s="7" t="s">
        <v>184</v>
      </c>
      <c r="H1" s="7" t="s">
        <v>670</v>
      </c>
      <c r="I1" s="7" t="s">
        <v>671</v>
      </c>
      <c r="J1" s="7" t="s">
        <v>672</v>
      </c>
      <c r="K1" s="7" t="s">
        <v>673</v>
      </c>
      <c r="L1" s="7" t="s">
        <v>674</v>
      </c>
      <c r="M1" s="3" t="s">
        <v>675</v>
      </c>
    </row>
    <row r="2" spans="1:12" x14ac:dyDescent="0.25">
      <c r="A2" t="s">
        <v>554</v>
      </c>
      <c r="B2" t="s">
        <v>555</v>
      </c>
      <c r="C2" t="s">
        <v>676</v>
      </c>
      <c r="D2" t="s">
        <v>677</v>
      </c>
      <c r="E2" t="s">
        <v>48</v>
      </c>
      <c r="F2" t="s">
        <v>25</v>
      </c>
      <c r="G2" t="s">
        <v>36</v>
      </c>
      <c r="H2" t="s">
        <v>26</v>
      </c>
      <c r="I2" t="s">
        <v>678</v>
      </c>
      <c r="J2" t="s">
        <v>679</v>
      </c>
      <c r="K2" t="s">
        <v>680</v>
      </c>
      <c r="L2" t="s">
        <v>681</v>
      </c>
    </row>
    <row r="3" spans="1:12" x14ac:dyDescent="0.25">
      <c r="A3" t="s">
        <v>556</v>
      </c>
      <c r="B3" t="s">
        <v>557</v>
      </c>
      <c r="C3" t="s">
        <v>682</v>
      </c>
      <c r="D3" t="s">
        <v>683</v>
      </c>
      <c r="E3" t="s">
        <v>125</v>
      </c>
      <c r="F3" t="s">
        <v>47</v>
      </c>
      <c r="G3" t="s">
        <v>58</v>
      </c>
      <c r="H3" t="s">
        <v>104</v>
      </c>
      <c r="I3" t="s">
        <v>678</v>
      </c>
      <c r="J3" t="s">
        <v>679</v>
      </c>
      <c r="K3" t="s">
        <v>678</v>
      </c>
      <c r="L3" t="s">
        <v>684</v>
      </c>
    </row>
    <row r="4" spans="1:12" x14ac:dyDescent="0.25">
      <c r="A4" t="s">
        <v>558</v>
      </c>
      <c r="B4" t="s">
        <v>559</v>
      </c>
      <c r="C4" t="s">
        <v>685</v>
      </c>
      <c r="D4" t="s">
        <v>686</v>
      </c>
      <c r="E4" t="s">
        <v>114</v>
      </c>
      <c r="F4" t="s">
        <v>69</v>
      </c>
      <c r="G4" t="s">
        <v>80</v>
      </c>
      <c r="H4" t="s">
        <v>136</v>
      </c>
      <c r="I4" t="s">
        <v>678</v>
      </c>
      <c r="J4" t="s">
        <v>679</v>
      </c>
      <c r="K4" t="s">
        <v>680</v>
      </c>
      <c r="L4" t="s">
        <v>681</v>
      </c>
    </row>
    <row r="5" spans="1:12" x14ac:dyDescent="0.25">
      <c r="A5" t="s">
        <v>560</v>
      </c>
      <c r="B5" t="s">
        <v>561</v>
      </c>
      <c r="C5" t="s">
        <v>687</v>
      </c>
      <c r="D5" t="s">
        <v>688</v>
      </c>
      <c r="E5" t="s">
        <v>103</v>
      </c>
      <c r="F5" t="s">
        <v>91</v>
      </c>
      <c r="G5" t="s">
        <v>102</v>
      </c>
      <c r="H5" t="s">
        <v>70</v>
      </c>
      <c r="I5" t="s">
        <v>678</v>
      </c>
      <c r="J5" t="s">
        <v>679</v>
      </c>
      <c r="K5" t="s">
        <v>678</v>
      </c>
      <c r="L5" t="s">
        <v>684</v>
      </c>
    </row>
    <row r="6" spans="1:12" x14ac:dyDescent="0.25">
      <c r="A6" t="s">
        <v>562</v>
      </c>
      <c r="B6" t="s">
        <v>563</v>
      </c>
      <c r="C6" t="s">
        <v>689</v>
      </c>
      <c r="D6" t="s">
        <v>677</v>
      </c>
      <c r="E6" t="s">
        <v>48</v>
      </c>
      <c r="F6" t="s">
        <v>25</v>
      </c>
      <c r="G6" t="s">
        <v>36</v>
      </c>
      <c r="H6" t="s">
        <v>26</v>
      </c>
      <c r="I6" t="s">
        <v>678</v>
      </c>
      <c r="J6" t="s">
        <v>679</v>
      </c>
      <c r="K6" t="s">
        <v>680</v>
      </c>
      <c r="L6" t="s">
        <v>681</v>
      </c>
    </row>
    <row r="7" spans="1:12" x14ac:dyDescent="0.25">
      <c r="A7" t="s">
        <v>564</v>
      </c>
      <c r="B7" t="s">
        <v>565</v>
      </c>
      <c r="C7" t="s">
        <v>676</v>
      </c>
      <c r="D7" t="s">
        <v>683</v>
      </c>
      <c r="E7" t="s">
        <v>125</v>
      </c>
      <c r="F7" t="s">
        <v>47</v>
      </c>
      <c r="G7" t="s">
        <v>58</v>
      </c>
      <c r="H7" t="s">
        <v>104</v>
      </c>
      <c r="I7" t="s">
        <v>678</v>
      </c>
      <c r="J7" t="s">
        <v>679</v>
      </c>
      <c r="K7" t="s">
        <v>678</v>
      </c>
      <c r="L7" t="s">
        <v>684</v>
      </c>
    </row>
    <row r="8" spans="1:12" x14ac:dyDescent="0.25">
      <c r="A8" t="s">
        <v>566</v>
      </c>
      <c r="B8" t="s">
        <v>567</v>
      </c>
      <c r="C8" t="s">
        <v>682</v>
      </c>
      <c r="D8" t="s">
        <v>686</v>
      </c>
      <c r="E8" t="s">
        <v>114</v>
      </c>
      <c r="F8" t="s">
        <v>69</v>
      </c>
      <c r="G8" t="s">
        <v>80</v>
      </c>
      <c r="H8" t="s">
        <v>136</v>
      </c>
      <c r="I8" t="s">
        <v>678</v>
      </c>
      <c r="J8" t="s">
        <v>679</v>
      </c>
      <c r="K8" t="s">
        <v>680</v>
      </c>
      <c r="L8" t="s">
        <v>681</v>
      </c>
    </row>
    <row r="9" spans="1:12" x14ac:dyDescent="0.25">
      <c r="A9" t="s">
        <v>568</v>
      </c>
      <c r="B9" t="s">
        <v>569</v>
      </c>
      <c r="C9" t="s">
        <v>685</v>
      </c>
      <c r="D9" t="s">
        <v>688</v>
      </c>
      <c r="E9" t="s">
        <v>103</v>
      </c>
      <c r="F9" t="s">
        <v>91</v>
      </c>
      <c r="G9" t="s">
        <v>102</v>
      </c>
      <c r="H9" t="s">
        <v>70</v>
      </c>
      <c r="I9" t="s">
        <v>678</v>
      </c>
      <c r="J9" t="s">
        <v>679</v>
      </c>
      <c r="K9" t="s">
        <v>678</v>
      </c>
      <c r="L9" t="s">
        <v>684</v>
      </c>
    </row>
  </sheetData>
  <autoFilter ref="A1:L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28" customWidth="1"/>
    <col min="2" max="2" width="18" customWidth="1"/>
    <col min="3" max="26" width="5" customWidth="1"/>
    <col min="27" max="27" width="28" customWidth="1"/>
    <col min="28" max="28" width="24" customWidth="1"/>
    <col min="29" max="29" width="16" customWidth="1"/>
    <col min="30" max="30" width="10" customWidth="1"/>
    <col min="31" max="31" width="18" customWidth="1"/>
  </cols>
  <sheetData>
    <row r="1" spans="1:31" s="8" customFormat="1" x14ac:dyDescent="0.25">
      <c r="A1" s="8" t="s">
        <v>191</v>
      </c>
      <c r="B1" s="8" t="s">
        <v>192</v>
      </c>
      <c r="C1" s="8" t="s">
        <v>690</v>
      </c>
      <c r="D1" s="8" t="s">
        <v>691</v>
      </c>
      <c r="E1" s="8" t="s">
        <v>692</v>
      </c>
      <c r="F1" s="8" t="s">
        <v>693</v>
      </c>
      <c r="G1" s="8" t="s">
        <v>694</v>
      </c>
      <c r="H1" s="8" t="s">
        <v>695</v>
      </c>
      <c r="I1" s="8" t="s">
        <v>696</v>
      </c>
      <c r="J1" s="8" t="s">
        <v>697</v>
      </c>
      <c r="K1" s="8" t="s">
        <v>698</v>
      </c>
      <c r="L1" s="8" t="s">
        <v>699</v>
      </c>
      <c r="M1" s="8" t="s">
        <v>700</v>
      </c>
      <c r="N1" s="8" t="s">
        <v>701</v>
      </c>
      <c r="O1" s="8" t="s">
        <v>702</v>
      </c>
      <c r="P1" s="8" t="s">
        <v>703</v>
      </c>
      <c r="Q1" s="8" t="s">
        <v>704</v>
      </c>
      <c r="R1" s="8" t="s">
        <v>705</v>
      </c>
      <c r="S1" s="8" t="s">
        <v>706</v>
      </c>
      <c r="T1" s="8" t="s">
        <v>707</v>
      </c>
      <c r="U1" s="8" t="s">
        <v>708</v>
      </c>
      <c r="V1" s="8" t="s">
        <v>709</v>
      </c>
      <c r="W1" s="8" t="s">
        <v>710</v>
      </c>
      <c r="X1" s="8" t="s">
        <v>711</v>
      </c>
      <c r="Y1" s="8" t="s">
        <v>712</v>
      </c>
      <c r="Z1" s="8" t="s">
        <v>713</v>
      </c>
      <c r="AA1" s="8" t="s">
        <v>714</v>
      </c>
      <c r="AB1" s="8" t="s">
        <v>715</v>
      </c>
      <c r="AC1" s="8" t="s">
        <v>716</v>
      </c>
      <c r="AD1" s="8" t="s">
        <v>717</v>
      </c>
      <c r="AE1" s="3" t="s">
        <v>718</v>
      </c>
    </row>
    <row r="2" spans="1:30" x14ac:dyDescent="0.25">
      <c r="A2" t="s">
        <v>554</v>
      </c>
      <c r="B2" t="s">
        <v>555</v>
      </c>
      <c r="C2" t="s">
        <v>26</v>
      </c>
      <c r="D2" t="s">
        <v>27</v>
      </c>
      <c r="E2" t="s">
        <v>37</v>
      </c>
      <c r="F2" t="s">
        <v>38</v>
      </c>
      <c r="G2" t="s">
        <v>48</v>
      </c>
      <c r="H2" t="s">
        <v>49</v>
      </c>
      <c r="I2" t="s">
        <v>59</v>
      </c>
      <c r="J2" t="s">
        <v>60</v>
      </c>
      <c r="K2" t="s">
        <v>70</v>
      </c>
      <c r="L2" t="s">
        <v>71</v>
      </c>
      <c r="M2" t="s">
        <v>81</v>
      </c>
      <c r="N2" t="s">
        <v>82</v>
      </c>
      <c r="O2" t="s">
        <v>92</v>
      </c>
      <c r="P2" t="s">
        <v>93</v>
      </c>
      <c r="Q2" t="s">
        <v>103</v>
      </c>
      <c r="R2" t="s">
        <v>104</v>
      </c>
      <c r="S2" t="s">
        <v>114</v>
      </c>
      <c r="T2" t="s">
        <v>115</v>
      </c>
      <c r="U2" t="s">
        <v>125</v>
      </c>
      <c r="V2" t="s">
        <v>126</v>
      </c>
      <c r="W2" t="s">
        <v>136</v>
      </c>
      <c r="X2" t="s">
        <v>137</v>
      </c>
      <c r="Y2" t="s">
        <v>147</v>
      </c>
      <c r="Z2" t="s">
        <v>148</v>
      </c>
      <c r="AA2" t="s">
        <v>719</v>
      </c>
      <c r="AB2" t="s">
        <v>720</v>
      </c>
      <c r="AC2" t="s">
        <v>721</v>
      </c>
      <c r="AD2" t="s">
        <v>26</v>
      </c>
    </row>
    <row r="3" spans="1:30" x14ac:dyDescent="0.25">
      <c r="A3" t="s">
        <v>556</v>
      </c>
      <c r="B3" t="s">
        <v>557</v>
      </c>
      <c r="C3" t="s">
        <v>26</v>
      </c>
      <c r="D3" t="s">
        <v>27</v>
      </c>
      <c r="E3" t="s">
        <v>37</v>
      </c>
      <c r="F3" t="s">
        <v>38</v>
      </c>
      <c r="G3" t="s">
        <v>48</v>
      </c>
      <c r="H3" t="s">
        <v>49</v>
      </c>
      <c r="I3" t="s">
        <v>59</v>
      </c>
      <c r="J3" t="s">
        <v>60</v>
      </c>
      <c r="K3" t="s">
        <v>70</v>
      </c>
      <c r="L3" t="s">
        <v>71</v>
      </c>
      <c r="M3" t="s">
        <v>81</v>
      </c>
      <c r="N3" t="s">
        <v>82</v>
      </c>
      <c r="O3" t="s">
        <v>92</v>
      </c>
      <c r="P3" t="s">
        <v>93</v>
      </c>
      <c r="Q3" t="s">
        <v>103</v>
      </c>
      <c r="R3" t="s">
        <v>104</v>
      </c>
      <c r="S3" t="s">
        <v>114</v>
      </c>
      <c r="T3" t="s">
        <v>115</v>
      </c>
      <c r="U3" t="s">
        <v>125</v>
      </c>
      <c r="V3" t="s">
        <v>126</v>
      </c>
      <c r="W3" t="s">
        <v>136</v>
      </c>
      <c r="X3" t="s">
        <v>137</v>
      </c>
      <c r="Y3" t="s">
        <v>147</v>
      </c>
      <c r="Z3" t="s">
        <v>148</v>
      </c>
      <c r="AA3" t="s">
        <v>719</v>
      </c>
      <c r="AB3" t="s">
        <v>720</v>
      </c>
      <c r="AC3" t="s">
        <v>721</v>
      </c>
      <c r="AD3" t="s">
        <v>26</v>
      </c>
    </row>
    <row r="4" spans="1:30" x14ac:dyDescent="0.25">
      <c r="A4" t="s">
        <v>558</v>
      </c>
      <c r="B4" t="s">
        <v>559</v>
      </c>
      <c r="C4" t="s">
        <v>26</v>
      </c>
      <c r="D4" t="s">
        <v>27</v>
      </c>
      <c r="E4" t="s">
        <v>37</v>
      </c>
      <c r="F4" t="s">
        <v>38</v>
      </c>
      <c r="G4" t="s">
        <v>48</v>
      </c>
      <c r="H4" t="s">
        <v>49</v>
      </c>
      <c r="I4" t="s">
        <v>59</v>
      </c>
      <c r="J4" t="s">
        <v>60</v>
      </c>
      <c r="K4" t="s">
        <v>70</v>
      </c>
      <c r="L4" t="s">
        <v>71</v>
      </c>
      <c r="M4" t="s">
        <v>81</v>
      </c>
      <c r="N4" t="s">
        <v>82</v>
      </c>
      <c r="O4" t="s">
        <v>92</v>
      </c>
      <c r="P4" t="s">
        <v>93</v>
      </c>
      <c r="Q4" t="s">
        <v>103</v>
      </c>
      <c r="R4" t="s">
        <v>104</v>
      </c>
      <c r="S4" t="s">
        <v>114</v>
      </c>
      <c r="T4" t="s">
        <v>115</v>
      </c>
      <c r="U4" t="s">
        <v>125</v>
      </c>
      <c r="V4" t="s">
        <v>126</v>
      </c>
      <c r="W4" t="s">
        <v>136</v>
      </c>
      <c r="X4" t="s">
        <v>137</v>
      </c>
      <c r="Y4" t="s">
        <v>147</v>
      </c>
      <c r="Z4" t="s">
        <v>148</v>
      </c>
      <c r="AA4" t="s">
        <v>719</v>
      </c>
      <c r="AB4" t="s">
        <v>720</v>
      </c>
      <c r="AC4" t="s">
        <v>721</v>
      </c>
      <c r="AD4" t="s">
        <v>26</v>
      </c>
    </row>
    <row r="5" spans="1:30" x14ac:dyDescent="0.25">
      <c r="A5" t="s">
        <v>560</v>
      </c>
      <c r="B5" t="s">
        <v>561</v>
      </c>
      <c r="C5" t="s">
        <v>26</v>
      </c>
      <c r="D5" t="s">
        <v>27</v>
      </c>
      <c r="E5" t="s">
        <v>37</v>
      </c>
      <c r="F5" t="s">
        <v>38</v>
      </c>
      <c r="G5" t="s">
        <v>48</v>
      </c>
      <c r="H5" t="s">
        <v>49</v>
      </c>
      <c r="I5" t="s">
        <v>59</v>
      </c>
      <c r="J5" t="s">
        <v>60</v>
      </c>
      <c r="K5" t="s">
        <v>70</v>
      </c>
      <c r="L5" t="s">
        <v>71</v>
      </c>
      <c r="M5" t="s">
        <v>81</v>
      </c>
      <c r="N5" t="s">
        <v>82</v>
      </c>
      <c r="O5" t="s">
        <v>92</v>
      </c>
      <c r="P5" t="s">
        <v>93</v>
      </c>
      <c r="Q5" t="s">
        <v>103</v>
      </c>
      <c r="R5" t="s">
        <v>104</v>
      </c>
      <c r="S5" t="s">
        <v>114</v>
      </c>
      <c r="T5" t="s">
        <v>115</v>
      </c>
      <c r="U5" t="s">
        <v>125</v>
      </c>
      <c r="V5" t="s">
        <v>126</v>
      </c>
      <c r="W5" t="s">
        <v>136</v>
      </c>
      <c r="X5" t="s">
        <v>137</v>
      </c>
      <c r="Y5" t="s">
        <v>147</v>
      </c>
      <c r="Z5" t="s">
        <v>148</v>
      </c>
      <c r="AA5" t="s">
        <v>719</v>
      </c>
      <c r="AB5" t="s">
        <v>720</v>
      </c>
      <c r="AC5" t="s">
        <v>721</v>
      </c>
      <c r="AD5" t="s">
        <v>26</v>
      </c>
    </row>
    <row r="6" spans="1:30" x14ac:dyDescent="0.25">
      <c r="A6" t="s">
        <v>562</v>
      </c>
      <c r="B6" t="s">
        <v>563</v>
      </c>
      <c r="C6" t="s">
        <v>27</v>
      </c>
      <c r="D6" t="s">
        <v>29</v>
      </c>
      <c r="E6" t="s">
        <v>38</v>
      </c>
      <c r="F6" t="s">
        <v>40</v>
      </c>
      <c r="G6" t="s">
        <v>49</v>
      </c>
      <c r="H6" t="s">
        <v>51</v>
      </c>
      <c r="I6" t="s">
        <v>60</v>
      </c>
      <c r="J6" t="s">
        <v>62</v>
      </c>
      <c r="K6" t="s">
        <v>71</v>
      </c>
      <c r="L6" t="s">
        <v>73</v>
      </c>
      <c r="M6" t="s">
        <v>82</v>
      </c>
      <c r="N6" t="s">
        <v>84</v>
      </c>
      <c r="O6" t="s">
        <v>93</v>
      </c>
      <c r="P6" t="s">
        <v>95</v>
      </c>
      <c r="Q6" t="s">
        <v>104</v>
      </c>
      <c r="R6" t="s">
        <v>106</v>
      </c>
      <c r="S6" t="s">
        <v>115</v>
      </c>
      <c r="T6" t="s">
        <v>117</v>
      </c>
      <c r="U6" t="s">
        <v>126</v>
      </c>
      <c r="V6" t="s">
        <v>128</v>
      </c>
      <c r="W6" t="s">
        <v>137</v>
      </c>
      <c r="X6" t="s">
        <v>139</v>
      </c>
      <c r="Y6" t="s">
        <v>148</v>
      </c>
      <c r="Z6" t="s">
        <v>150</v>
      </c>
      <c r="AA6" t="s">
        <v>722</v>
      </c>
      <c r="AB6" t="s">
        <v>723</v>
      </c>
      <c r="AC6" t="s">
        <v>724</v>
      </c>
      <c r="AD6" t="s">
        <v>27</v>
      </c>
    </row>
    <row r="7" spans="1:30" x14ac:dyDescent="0.25">
      <c r="A7" t="s">
        <v>564</v>
      </c>
      <c r="B7" t="s">
        <v>565</v>
      </c>
      <c r="C7" t="s">
        <v>27</v>
      </c>
      <c r="D7" t="s">
        <v>29</v>
      </c>
      <c r="E7" t="s">
        <v>38</v>
      </c>
      <c r="F7" t="s">
        <v>40</v>
      </c>
      <c r="G7" t="s">
        <v>49</v>
      </c>
      <c r="H7" t="s">
        <v>51</v>
      </c>
      <c r="I7" t="s">
        <v>60</v>
      </c>
      <c r="J7" t="s">
        <v>62</v>
      </c>
      <c r="K7" t="s">
        <v>71</v>
      </c>
      <c r="L7" t="s">
        <v>73</v>
      </c>
      <c r="M7" t="s">
        <v>82</v>
      </c>
      <c r="N7" t="s">
        <v>84</v>
      </c>
      <c r="O7" t="s">
        <v>93</v>
      </c>
      <c r="P7" t="s">
        <v>95</v>
      </c>
      <c r="Q7" t="s">
        <v>104</v>
      </c>
      <c r="R7" t="s">
        <v>106</v>
      </c>
      <c r="S7" t="s">
        <v>115</v>
      </c>
      <c r="T7" t="s">
        <v>117</v>
      </c>
      <c r="U7" t="s">
        <v>126</v>
      </c>
      <c r="V7" t="s">
        <v>128</v>
      </c>
      <c r="W7" t="s">
        <v>137</v>
      </c>
      <c r="X7" t="s">
        <v>139</v>
      </c>
      <c r="Y7" t="s">
        <v>148</v>
      </c>
      <c r="Z7" t="s">
        <v>150</v>
      </c>
      <c r="AA7" t="s">
        <v>722</v>
      </c>
      <c r="AB7" t="s">
        <v>723</v>
      </c>
      <c r="AC7" t="s">
        <v>724</v>
      </c>
      <c r="AD7" t="s">
        <v>27</v>
      </c>
    </row>
    <row r="8" spans="1:30" x14ac:dyDescent="0.25">
      <c r="A8" t="s">
        <v>566</v>
      </c>
      <c r="B8" t="s">
        <v>567</v>
      </c>
      <c r="C8" t="s">
        <v>26</v>
      </c>
      <c r="D8" t="s">
        <v>27</v>
      </c>
      <c r="E8" t="s">
        <v>37</v>
      </c>
      <c r="F8" t="s">
        <v>38</v>
      </c>
      <c r="G8" t="s">
        <v>48</v>
      </c>
      <c r="H8" t="s">
        <v>49</v>
      </c>
      <c r="I8" t="s">
        <v>59</v>
      </c>
      <c r="J8" t="s">
        <v>60</v>
      </c>
      <c r="K8" t="s">
        <v>70</v>
      </c>
      <c r="L8" t="s">
        <v>71</v>
      </c>
      <c r="M8" t="s">
        <v>81</v>
      </c>
      <c r="N8" t="s">
        <v>82</v>
      </c>
      <c r="O8" t="s">
        <v>92</v>
      </c>
      <c r="P8" t="s">
        <v>93</v>
      </c>
      <c r="Q8" t="s">
        <v>103</v>
      </c>
      <c r="R8" t="s">
        <v>104</v>
      </c>
      <c r="S8" t="s">
        <v>114</v>
      </c>
      <c r="T8" t="s">
        <v>115</v>
      </c>
      <c r="U8" t="s">
        <v>125</v>
      </c>
      <c r="V8" t="s">
        <v>126</v>
      </c>
      <c r="W8" t="s">
        <v>136</v>
      </c>
      <c r="X8" t="s">
        <v>137</v>
      </c>
      <c r="Y8" t="s">
        <v>147</v>
      </c>
      <c r="Z8" t="s">
        <v>148</v>
      </c>
      <c r="AA8" t="s">
        <v>719</v>
      </c>
      <c r="AB8" t="s">
        <v>720</v>
      </c>
      <c r="AC8" t="s">
        <v>721</v>
      </c>
      <c r="AD8" t="s">
        <v>26</v>
      </c>
    </row>
    <row r="9" spans="1:30" x14ac:dyDescent="0.25">
      <c r="A9" t="s">
        <v>568</v>
      </c>
      <c r="B9" t="s">
        <v>569</v>
      </c>
      <c r="C9" t="s">
        <v>26</v>
      </c>
      <c r="D9" t="s">
        <v>27</v>
      </c>
      <c r="E9" t="s">
        <v>37</v>
      </c>
      <c r="F9" t="s">
        <v>38</v>
      </c>
      <c r="G9" t="s">
        <v>48</v>
      </c>
      <c r="H9" t="s">
        <v>49</v>
      </c>
      <c r="I9" t="s">
        <v>59</v>
      </c>
      <c r="J9" t="s">
        <v>60</v>
      </c>
      <c r="K9" t="s">
        <v>70</v>
      </c>
      <c r="L9" t="s">
        <v>71</v>
      </c>
      <c r="M9" t="s">
        <v>81</v>
      </c>
      <c r="N9" t="s">
        <v>82</v>
      </c>
      <c r="O9" t="s">
        <v>92</v>
      </c>
      <c r="P9" t="s">
        <v>93</v>
      </c>
      <c r="Q9" t="s">
        <v>103</v>
      </c>
      <c r="R9" t="s">
        <v>104</v>
      </c>
      <c r="S9" t="s">
        <v>114</v>
      </c>
      <c r="T9" t="s">
        <v>115</v>
      </c>
      <c r="U9" t="s">
        <v>125</v>
      </c>
      <c r="V9" t="s">
        <v>126</v>
      </c>
      <c r="W9" t="s">
        <v>136</v>
      </c>
      <c r="X9" t="s">
        <v>137</v>
      </c>
      <c r="Y9" t="s">
        <v>147</v>
      </c>
      <c r="Z9" t="s">
        <v>148</v>
      </c>
      <c r="AA9" t="s">
        <v>719</v>
      </c>
      <c r="AB9" t="s">
        <v>720</v>
      </c>
      <c r="AC9" t="s">
        <v>721</v>
      </c>
      <c r="AD9" t="s">
        <v>30</v>
      </c>
    </row>
  </sheetData>
  <autoFilter ref="A1:AD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FormatPr defaultRowHeight="15" outlineLevelRow="0" outlineLevelCol="0" x14ac:dyDescent="55"/>
  <cols>
    <col min="1" max="1" width="6" customWidth="1"/>
    <col min="2" max="3" width="18" customWidth="1"/>
    <col min="4" max="4" width="7" customWidth="1"/>
  </cols>
  <sheetData>
    <row r="1" spans="1:4" s="4" customFormat="1" x14ac:dyDescent="0.25">
      <c r="A1" s="4" t="s">
        <v>725</v>
      </c>
      <c r="B1" s="4" t="s">
        <v>726</v>
      </c>
      <c r="C1" s="4" t="s">
        <v>727</v>
      </c>
      <c r="D1" s="4" t="s">
        <v>18</v>
      </c>
    </row>
    <row r="2" spans="1:4" x14ac:dyDescent="0.25">
      <c r="A2" t="s">
        <v>26</v>
      </c>
      <c r="B2" t="s">
        <v>728</v>
      </c>
      <c r="C2" t="s">
        <v>729</v>
      </c>
      <c r="D2" t="s">
        <v>25</v>
      </c>
    </row>
    <row r="3" spans="1:4" x14ac:dyDescent="0.25">
      <c r="A3" t="s">
        <v>27</v>
      </c>
      <c r="B3" t="s">
        <v>730</v>
      </c>
      <c r="C3" t="s">
        <v>731</v>
      </c>
      <c r="D3" t="s">
        <v>25</v>
      </c>
    </row>
    <row r="4" spans="1:4" x14ac:dyDescent="0.25">
      <c r="A4" t="s">
        <v>29</v>
      </c>
      <c r="B4" t="s">
        <v>732</v>
      </c>
      <c r="C4" t="s">
        <v>733</v>
      </c>
      <c r="D4" t="s">
        <v>25</v>
      </c>
    </row>
    <row r="5" spans="1:4" x14ac:dyDescent="0.25">
      <c r="A5" t="s">
        <v>30</v>
      </c>
      <c r="B5" t="s">
        <v>734</v>
      </c>
      <c r="C5" t="s">
        <v>735</v>
      </c>
      <c r="D5" t="s">
        <v>25</v>
      </c>
    </row>
    <row r="6" spans="1:4" x14ac:dyDescent="0.25">
      <c r="A6" t="s">
        <v>37</v>
      </c>
      <c r="B6" t="s">
        <v>736</v>
      </c>
      <c r="C6" t="s">
        <v>737</v>
      </c>
      <c r="D6" t="s">
        <v>36</v>
      </c>
    </row>
    <row r="7" spans="1:4" x14ac:dyDescent="0.25">
      <c r="A7" t="s">
        <v>38</v>
      </c>
      <c r="B7" t="s">
        <v>738</v>
      </c>
      <c r="C7" t="s">
        <v>739</v>
      </c>
      <c r="D7" t="s">
        <v>36</v>
      </c>
    </row>
    <row r="8" spans="1:4" x14ac:dyDescent="0.25">
      <c r="A8" t="s">
        <v>40</v>
      </c>
      <c r="B8" t="s">
        <v>740</v>
      </c>
      <c r="C8" t="s">
        <v>741</v>
      </c>
      <c r="D8" t="s">
        <v>36</v>
      </c>
    </row>
    <row r="9" spans="1:4" x14ac:dyDescent="0.25">
      <c r="A9" t="s">
        <v>41</v>
      </c>
      <c r="B9" t="s">
        <v>742</v>
      </c>
      <c r="C9" t="s">
        <v>743</v>
      </c>
      <c r="D9" t="s">
        <v>36</v>
      </c>
    </row>
    <row r="10" spans="1:4" x14ac:dyDescent="0.25">
      <c r="A10" t="s">
        <v>48</v>
      </c>
      <c r="B10" t="s">
        <v>744</v>
      </c>
      <c r="C10" t="s">
        <v>745</v>
      </c>
      <c r="D10" t="s">
        <v>47</v>
      </c>
    </row>
    <row r="11" spans="1:4" x14ac:dyDescent="0.25">
      <c r="A11" t="s">
        <v>49</v>
      </c>
      <c r="B11" t="s">
        <v>746</v>
      </c>
      <c r="C11" t="s">
        <v>747</v>
      </c>
      <c r="D11" t="s">
        <v>47</v>
      </c>
    </row>
    <row r="12" spans="1:4" x14ac:dyDescent="0.25">
      <c r="A12" t="s">
        <v>51</v>
      </c>
      <c r="B12" t="s">
        <v>748</v>
      </c>
      <c r="C12" t="s">
        <v>749</v>
      </c>
      <c r="D12" t="s">
        <v>47</v>
      </c>
    </row>
    <row r="13" spans="1:4" x14ac:dyDescent="0.25">
      <c r="A13" t="s">
        <v>52</v>
      </c>
      <c r="B13" t="s">
        <v>750</v>
      </c>
      <c r="C13" t="s">
        <v>751</v>
      </c>
      <c r="D13" t="s">
        <v>47</v>
      </c>
    </row>
    <row r="14" spans="1:4" x14ac:dyDescent="0.25">
      <c r="A14" t="s">
        <v>59</v>
      </c>
      <c r="B14" t="s">
        <v>752</v>
      </c>
      <c r="C14" t="s">
        <v>753</v>
      </c>
      <c r="D14" t="s">
        <v>58</v>
      </c>
    </row>
    <row r="15" spans="1:4" x14ac:dyDescent="0.25">
      <c r="A15" t="s">
        <v>60</v>
      </c>
      <c r="B15" t="s">
        <v>754</v>
      </c>
      <c r="C15" t="s">
        <v>755</v>
      </c>
      <c r="D15" t="s">
        <v>58</v>
      </c>
    </row>
    <row r="16" spans="1:4" x14ac:dyDescent="0.25">
      <c r="A16" t="s">
        <v>62</v>
      </c>
      <c r="B16" t="s">
        <v>756</v>
      </c>
      <c r="C16" t="s">
        <v>757</v>
      </c>
      <c r="D16" t="s">
        <v>58</v>
      </c>
    </row>
    <row r="17" spans="1:4" x14ac:dyDescent="0.25">
      <c r="A17" t="s">
        <v>63</v>
      </c>
      <c r="B17" t="s">
        <v>758</v>
      </c>
      <c r="C17" t="s">
        <v>759</v>
      </c>
      <c r="D17" t="s">
        <v>58</v>
      </c>
    </row>
    <row r="18" spans="1:4" x14ac:dyDescent="0.25">
      <c r="A18" t="s">
        <v>70</v>
      </c>
      <c r="B18" t="s">
        <v>760</v>
      </c>
      <c r="C18" t="s">
        <v>761</v>
      </c>
      <c r="D18" t="s">
        <v>69</v>
      </c>
    </row>
    <row r="19" spans="1:4" x14ac:dyDescent="0.25">
      <c r="A19" t="s">
        <v>71</v>
      </c>
      <c r="B19" t="s">
        <v>762</v>
      </c>
      <c r="C19" t="s">
        <v>763</v>
      </c>
      <c r="D19" t="s">
        <v>69</v>
      </c>
    </row>
    <row r="20" spans="1:4" x14ac:dyDescent="0.25">
      <c r="A20" t="s">
        <v>73</v>
      </c>
      <c r="B20" t="s">
        <v>764</v>
      </c>
      <c r="C20" t="s">
        <v>765</v>
      </c>
      <c r="D20" t="s">
        <v>69</v>
      </c>
    </row>
    <row r="21" spans="1:4" x14ac:dyDescent="0.25">
      <c r="A21" t="s">
        <v>74</v>
      </c>
      <c r="B21" t="s">
        <v>766</v>
      </c>
      <c r="C21" t="s">
        <v>767</v>
      </c>
      <c r="D21" t="s">
        <v>69</v>
      </c>
    </row>
    <row r="22" spans="1:4" x14ac:dyDescent="0.25">
      <c r="A22" t="s">
        <v>81</v>
      </c>
      <c r="B22" t="s">
        <v>768</v>
      </c>
      <c r="C22" t="s">
        <v>769</v>
      </c>
      <c r="D22" t="s">
        <v>80</v>
      </c>
    </row>
    <row r="23" spans="1:4" x14ac:dyDescent="0.25">
      <c r="A23" t="s">
        <v>82</v>
      </c>
      <c r="B23" t="s">
        <v>770</v>
      </c>
      <c r="C23" t="s">
        <v>771</v>
      </c>
      <c r="D23" t="s">
        <v>80</v>
      </c>
    </row>
    <row r="24" spans="1:4" x14ac:dyDescent="0.25">
      <c r="A24" t="s">
        <v>84</v>
      </c>
      <c r="B24" t="s">
        <v>772</v>
      </c>
      <c r="C24" t="s">
        <v>773</v>
      </c>
      <c r="D24" t="s">
        <v>80</v>
      </c>
    </row>
    <row r="25" spans="1:4" x14ac:dyDescent="0.25">
      <c r="A25" t="s">
        <v>85</v>
      </c>
      <c r="B25" t="s">
        <v>774</v>
      </c>
      <c r="C25" t="s">
        <v>775</v>
      </c>
      <c r="D25" t="s">
        <v>80</v>
      </c>
    </row>
    <row r="26" spans="1:4" x14ac:dyDescent="0.25">
      <c r="A26" t="s">
        <v>92</v>
      </c>
      <c r="B26" t="s">
        <v>776</v>
      </c>
      <c r="C26" t="s">
        <v>777</v>
      </c>
      <c r="D26" t="s">
        <v>91</v>
      </c>
    </row>
    <row r="27" spans="1:4" x14ac:dyDescent="0.25">
      <c r="A27" t="s">
        <v>93</v>
      </c>
      <c r="B27" t="s">
        <v>778</v>
      </c>
      <c r="C27" t="s">
        <v>779</v>
      </c>
      <c r="D27" t="s">
        <v>91</v>
      </c>
    </row>
    <row r="28" spans="1:4" x14ac:dyDescent="0.25">
      <c r="A28" t="s">
        <v>95</v>
      </c>
      <c r="B28" t="s">
        <v>780</v>
      </c>
      <c r="C28" t="s">
        <v>781</v>
      </c>
      <c r="D28" t="s">
        <v>91</v>
      </c>
    </row>
    <row r="29" spans="1:4" x14ac:dyDescent="0.25">
      <c r="A29" t="s">
        <v>96</v>
      </c>
      <c r="B29" t="s">
        <v>782</v>
      </c>
      <c r="C29" t="s">
        <v>783</v>
      </c>
      <c r="D29" t="s">
        <v>91</v>
      </c>
    </row>
    <row r="30" spans="1:4" x14ac:dyDescent="0.25">
      <c r="A30" t="s">
        <v>103</v>
      </c>
      <c r="B30" t="s">
        <v>784</v>
      </c>
      <c r="C30" t="s">
        <v>785</v>
      </c>
      <c r="D30" t="s">
        <v>102</v>
      </c>
    </row>
    <row r="31" spans="1:4" x14ac:dyDescent="0.25">
      <c r="A31" t="s">
        <v>104</v>
      </c>
      <c r="B31" t="s">
        <v>786</v>
      </c>
      <c r="C31" t="s">
        <v>787</v>
      </c>
      <c r="D31" t="s">
        <v>102</v>
      </c>
    </row>
    <row r="32" spans="1:4" x14ac:dyDescent="0.25">
      <c r="A32" t="s">
        <v>106</v>
      </c>
      <c r="B32" t="s">
        <v>788</v>
      </c>
      <c r="C32" t="s">
        <v>789</v>
      </c>
      <c r="D32" t="s">
        <v>102</v>
      </c>
    </row>
    <row r="33" spans="1:4" x14ac:dyDescent="0.25">
      <c r="A33" t="s">
        <v>107</v>
      </c>
      <c r="B33" t="s">
        <v>790</v>
      </c>
      <c r="C33" t="s">
        <v>791</v>
      </c>
      <c r="D33" t="s">
        <v>102</v>
      </c>
    </row>
    <row r="34" spans="1:4" x14ac:dyDescent="0.25">
      <c r="A34" t="s">
        <v>114</v>
      </c>
      <c r="B34" t="s">
        <v>792</v>
      </c>
      <c r="C34" t="s">
        <v>793</v>
      </c>
      <c r="D34" t="s">
        <v>113</v>
      </c>
    </row>
    <row r="35" spans="1:4" x14ac:dyDescent="0.25">
      <c r="A35" t="s">
        <v>115</v>
      </c>
      <c r="B35" t="s">
        <v>794</v>
      </c>
      <c r="C35" t="s">
        <v>795</v>
      </c>
      <c r="D35" t="s">
        <v>113</v>
      </c>
    </row>
    <row r="36" spans="1:4" x14ac:dyDescent="0.25">
      <c r="A36" t="s">
        <v>117</v>
      </c>
      <c r="B36" t="s">
        <v>796</v>
      </c>
      <c r="C36" t="s">
        <v>797</v>
      </c>
      <c r="D36" t="s">
        <v>113</v>
      </c>
    </row>
    <row r="37" spans="1:4" x14ac:dyDescent="0.25">
      <c r="A37" t="s">
        <v>118</v>
      </c>
      <c r="B37" t="s">
        <v>798</v>
      </c>
      <c r="C37" t="s">
        <v>799</v>
      </c>
      <c r="D37" t="s">
        <v>113</v>
      </c>
    </row>
    <row r="38" spans="1:4" x14ac:dyDescent="0.25">
      <c r="A38" t="s">
        <v>125</v>
      </c>
      <c r="B38" t="s">
        <v>800</v>
      </c>
      <c r="C38" t="s">
        <v>801</v>
      </c>
      <c r="D38" t="s">
        <v>124</v>
      </c>
    </row>
    <row r="39" spans="1:4" x14ac:dyDescent="0.25">
      <c r="A39" t="s">
        <v>126</v>
      </c>
      <c r="B39" t="s">
        <v>802</v>
      </c>
      <c r="C39" t="s">
        <v>803</v>
      </c>
      <c r="D39" t="s">
        <v>124</v>
      </c>
    </row>
    <row r="40" spans="1:4" x14ac:dyDescent="0.25">
      <c r="A40" t="s">
        <v>128</v>
      </c>
      <c r="B40" t="s">
        <v>804</v>
      </c>
      <c r="C40" t="s">
        <v>805</v>
      </c>
      <c r="D40" t="s">
        <v>124</v>
      </c>
    </row>
    <row r="41" spans="1:4" x14ac:dyDescent="0.25">
      <c r="A41" t="s">
        <v>129</v>
      </c>
      <c r="B41" t="s">
        <v>806</v>
      </c>
      <c r="C41" t="s">
        <v>807</v>
      </c>
      <c r="D41" t="s">
        <v>124</v>
      </c>
    </row>
    <row r="42" spans="1:4" x14ac:dyDescent="0.25">
      <c r="A42" t="s">
        <v>136</v>
      </c>
      <c r="B42" t="s">
        <v>808</v>
      </c>
      <c r="C42" t="s">
        <v>809</v>
      </c>
      <c r="D42" t="s">
        <v>135</v>
      </c>
    </row>
    <row r="43" spans="1:4" x14ac:dyDescent="0.25">
      <c r="A43" t="s">
        <v>137</v>
      </c>
      <c r="B43" t="s">
        <v>810</v>
      </c>
      <c r="C43" t="s">
        <v>811</v>
      </c>
      <c r="D43" t="s">
        <v>135</v>
      </c>
    </row>
    <row r="44" spans="1:4" x14ac:dyDescent="0.25">
      <c r="A44" t="s">
        <v>139</v>
      </c>
      <c r="B44" t="s">
        <v>812</v>
      </c>
      <c r="C44" t="s">
        <v>813</v>
      </c>
      <c r="D44" t="s">
        <v>135</v>
      </c>
    </row>
    <row r="45" spans="1:4" x14ac:dyDescent="0.25">
      <c r="A45" t="s">
        <v>140</v>
      </c>
      <c r="B45" t="s">
        <v>814</v>
      </c>
      <c r="C45" t="s">
        <v>815</v>
      </c>
      <c r="D45" t="s">
        <v>135</v>
      </c>
    </row>
    <row r="46" spans="1:4" x14ac:dyDescent="0.25">
      <c r="A46" t="s">
        <v>147</v>
      </c>
      <c r="B46" t="s">
        <v>816</v>
      </c>
      <c r="C46" t="s">
        <v>817</v>
      </c>
      <c r="D46" t="s">
        <v>146</v>
      </c>
    </row>
    <row r="47" spans="1:4" x14ac:dyDescent="0.25">
      <c r="A47" t="s">
        <v>148</v>
      </c>
      <c r="B47" t="s">
        <v>818</v>
      </c>
      <c r="C47" t="s">
        <v>819</v>
      </c>
      <c r="D47" t="s">
        <v>146</v>
      </c>
    </row>
    <row r="48" spans="1:4" x14ac:dyDescent="0.25">
      <c r="A48" t="s">
        <v>150</v>
      </c>
      <c r="B48" t="s">
        <v>820</v>
      </c>
      <c r="C48" t="s">
        <v>821</v>
      </c>
      <c r="D48" t="s">
        <v>146</v>
      </c>
    </row>
    <row r="49" spans="1:4" x14ac:dyDescent="0.25">
      <c r="A49" t="s">
        <v>151</v>
      </c>
      <c r="B49" t="s">
        <v>822</v>
      </c>
      <c r="C49" t="s">
        <v>823</v>
      </c>
      <c r="D49" t="s">
        <v>146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FormatPr defaultRowHeight="15" outlineLevelRow="0" outlineLevelCol="0" x14ac:dyDescent="55"/>
  <cols>
    <col min="1" max="1" width="6" customWidth="1"/>
    <col min="2" max="2" width="18" customWidth="1"/>
    <col min="3" max="3" width="28" customWidth="1"/>
    <col min="4" max="4" width="12" customWidth="1"/>
    <col min="5" max="5" width="14" customWidth="1"/>
    <col min="6" max="6" width="12" customWidth="1"/>
    <col min="7" max="7" width="16" customWidth="1"/>
    <col min="8" max="8" width="10" customWidth="1"/>
  </cols>
  <sheetData>
    <row r="1" spans="1:8" s="6" customFormat="1" x14ac:dyDescent="0.25">
      <c r="A1" s="6" t="s">
        <v>824</v>
      </c>
      <c r="B1" s="6" t="s">
        <v>192</v>
      </c>
      <c r="C1" s="6" t="s">
        <v>191</v>
      </c>
      <c r="D1" s="6" t="s">
        <v>825</v>
      </c>
      <c r="E1" s="6" t="s">
        <v>826</v>
      </c>
      <c r="F1" s="6" t="s">
        <v>827</v>
      </c>
      <c r="G1" s="6" t="s">
        <v>828</v>
      </c>
      <c r="H1" s="6" t="s">
        <v>829</v>
      </c>
    </row>
    <row r="2" spans="1:8" x14ac:dyDescent="0.25">
      <c r="A2">
        <f>RANK(H2,$H$2:$H$9)</f>
      </c>
      <c r="B2" t="s">
        <v>555</v>
      </c>
      <c r="C2" t="s">
        <v>554</v>
      </c>
      <c r="D2">
        <f>IFERROR(VLOOKUP(C2,Groups!$A:$MY,363,FALSE),0)</f>
      </c>
      <c r="E2">
        <f>IFERROR(VLOOKUP(C2,Knockout!$A:$CU,99,FALSE),0)</f>
      </c>
      <c r="F2">
        <f>IFERROR(VLOOKUP(C2,Special!$A:$M,13,FALSE),0)</f>
      </c>
      <c r="G2">
        <f>IFERROR(VLOOKUP(C2,Advancement!$A:$AE,31,FALSE),0)</f>
      </c>
      <c r="H2" s="4">
        <f>SUM(D2:G2)</f>
      </c>
    </row>
    <row r="3" spans="1:8" x14ac:dyDescent="0.25">
      <c r="A3">
        <f>RANK(H3,$H$2:$H$9)</f>
      </c>
      <c r="B3" t="s">
        <v>557</v>
      </c>
      <c r="C3" t="s">
        <v>556</v>
      </c>
      <c r="D3">
        <f>IFERROR(VLOOKUP(C3,Groups!$A:$MY,363,FALSE),0)</f>
      </c>
      <c r="E3">
        <f>IFERROR(VLOOKUP(C3,Knockout!$A:$CU,99,FALSE),0)</f>
      </c>
      <c r="F3">
        <f>IFERROR(VLOOKUP(C3,Special!$A:$M,13,FALSE),0)</f>
      </c>
      <c r="G3">
        <f>IFERROR(VLOOKUP(C3,Advancement!$A:$AE,31,FALSE),0)</f>
      </c>
      <c r="H3" s="4">
        <f>SUM(D3:G3)</f>
      </c>
    </row>
    <row r="4" spans="1:8" x14ac:dyDescent="0.25">
      <c r="A4">
        <f>RANK(H4,$H$2:$H$9)</f>
      </c>
      <c r="B4" t="s">
        <v>559</v>
      </c>
      <c r="C4" t="s">
        <v>558</v>
      </c>
      <c r="D4">
        <f>IFERROR(VLOOKUP(C4,Groups!$A:$MY,363,FALSE),0)</f>
      </c>
      <c r="E4">
        <f>IFERROR(VLOOKUP(C4,Knockout!$A:$CU,99,FALSE),0)</f>
      </c>
      <c r="F4">
        <f>IFERROR(VLOOKUP(C4,Special!$A:$M,13,FALSE),0)</f>
      </c>
      <c r="G4">
        <f>IFERROR(VLOOKUP(C4,Advancement!$A:$AE,31,FALSE),0)</f>
      </c>
      <c r="H4" s="4">
        <f>SUM(D4:G4)</f>
      </c>
    </row>
    <row r="5" spans="1:8" x14ac:dyDescent="0.25">
      <c r="A5">
        <f>RANK(H5,$H$2:$H$9)</f>
      </c>
      <c r="B5" t="s">
        <v>561</v>
      </c>
      <c r="C5" t="s">
        <v>560</v>
      </c>
      <c r="D5">
        <f>IFERROR(VLOOKUP(C5,Groups!$A:$MY,363,FALSE),0)</f>
      </c>
      <c r="E5">
        <f>IFERROR(VLOOKUP(C5,Knockout!$A:$CU,99,FALSE),0)</f>
      </c>
      <c r="F5">
        <f>IFERROR(VLOOKUP(C5,Special!$A:$M,13,FALSE),0)</f>
      </c>
      <c r="G5">
        <f>IFERROR(VLOOKUP(C5,Advancement!$A:$AE,31,FALSE),0)</f>
      </c>
      <c r="H5" s="4">
        <f>SUM(D5:G5)</f>
      </c>
    </row>
    <row r="6" spans="1:8" x14ac:dyDescent="0.25">
      <c r="A6">
        <f>RANK(H6,$H$2:$H$9)</f>
      </c>
      <c r="B6" t="s">
        <v>563</v>
      </c>
      <c r="C6" t="s">
        <v>562</v>
      </c>
      <c r="D6">
        <f>IFERROR(VLOOKUP(C6,Groups!$A:$MY,363,FALSE),0)</f>
      </c>
      <c r="E6">
        <f>IFERROR(VLOOKUP(C6,Knockout!$A:$CU,99,FALSE),0)</f>
      </c>
      <c r="F6">
        <f>IFERROR(VLOOKUP(C6,Special!$A:$M,13,FALSE),0)</f>
      </c>
      <c r="G6">
        <f>IFERROR(VLOOKUP(C6,Advancement!$A:$AE,31,FALSE),0)</f>
      </c>
      <c r="H6" s="4">
        <f>SUM(D6:G6)</f>
      </c>
    </row>
    <row r="7" spans="1:8" x14ac:dyDescent="0.25">
      <c r="A7">
        <f>RANK(H7,$H$2:$H$9)</f>
      </c>
      <c r="B7" t="s">
        <v>565</v>
      </c>
      <c r="C7" t="s">
        <v>564</v>
      </c>
      <c r="D7">
        <f>IFERROR(VLOOKUP(C7,Groups!$A:$MY,363,FALSE),0)</f>
      </c>
      <c r="E7">
        <f>IFERROR(VLOOKUP(C7,Knockout!$A:$CU,99,FALSE),0)</f>
      </c>
      <c r="F7">
        <f>IFERROR(VLOOKUP(C7,Special!$A:$M,13,FALSE),0)</f>
      </c>
      <c r="G7">
        <f>IFERROR(VLOOKUP(C7,Advancement!$A:$AE,31,FALSE),0)</f>
      </c>
      <c r="H7" s="4">
        <f>SUM(D7:G7)</f>
      </c>
    </row>
    <row r="8" spans="1:8" x14ac:dyDescent="0.25">
      <c r="A8">
        <f>RANK(H8,$H$2:$H$9)</f>
      </c>
      <c r="B8" t="s">
        <v>567</v>
      </c>
      <c r="C8" t="s">
        <v>566</v>
      </c>
      <c r="D8">
        <f>IFERROR(VLOOKUP(C8,Groups!$A:$MY,363,FALSE),0)</f>
      </c>
      <c r="E8">
        <f>IFERROR(VLOOKUP(C8,Knockout!$A:$CU,99,FALSE),0)</f>
      </c>
      <c r="F8">
        <f>IFERROR(VLOOKUP(C8,Special!$A:$M,13,FALSE),0)</f>
      </c>
      <c r="G8">
        <f>IFERROR(VLOOKUP(C8,Advancement!$A:$AE,31,FALSE),0)</f>
      </c>
      <c r="H8" s="4">
        <f>SUM(D8:G8)</f>
      </c>
    </row>
    <row r="9" spans="1:8" x14ac:dyDescent="0.25">
      <c r="A9">
        <f>RANK(H9,$H$2:$H$9)</f>
      </c>
      <c r="B9" t="s">
        <v>569</v>
      </c>
      <c r="C9" t="s">
        <v>568</v>
      </c>
      <c r="D9">
        <f>IFERROR(VLOOKUP(C9,Groups!$A:$MY,363,FALSE),0)</f>
      </c>
      <c r="E9">
        <f>IFERROR(VLOOKUP(C9,Knockout!$A:$CU,99,FALSE),0)</f>
      </c>
      <c r="F9">
        <f>IFERROR(VLOOKUP(C9,Special!$A:$M,13,FALSE),0)</f>
      </c>
      <c r="G9">
        <f>IFERROR(VLOOKUP(C9,Advancement!$A:$AE,31,FALSE),0)</f>
      </c>
      <c r="H9" s="4">
        <f>SUM(D9:G9)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00_README</vt:lpstr>
      <vt:lpstr>01_results_input</vt:lpstr>
      <vt:lpstr>03_scoring_rules</vt:lpstr>
      <vt:lpstr>Groups</vt:lpstr>
      <vt:lpstr>Knockout</vt:lpstr>
      <vt:lpstr>Special</vt:lpstr>
      <vt:lpstr>Advancement</vt:lpstr>
      <vt:lpstr>Teams (reference)</vt:lpstr>
      <vt:lpstr>99_leaderboard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WC2026 The Minhelet</dc:creator>
  <dc:title/>
  <dc:subject/>
  <dc:description/>
  <cp:keywords/>
  <cp:category/>
  <cp:lastModifiedBy>Unknown</cp:lastModifiedBy>
  <dcterms:created xsi:type="dcterms:W3CDTF">2026-05-09T10:18:04Z</dcterms:created>
  <dcterms:modified xsi:type="dcterms:W3CDTF">2026-05-09T10:18:04Z</dcterms:modified>
</cp:coreProperties>
</file>